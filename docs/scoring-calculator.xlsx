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alculator" sheetId="2" state="visible" r:id="rId2"/>
    <sheet name="scoreCat" sheetId="3" state="visible" r:id="rId3"/>
    <sheet name="Weights" sheetId="4" state="visible" r:id="rId4"/>
    <sheet name="Dealbreakers" sheetId="5" state="visible" r:id="rId5"/>
    <sheet name="Grade Threshol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1">
    <font>
      <name val="Calibri"/>
      <family val="2"/>
      <color theme="1"/>
      <sz val="11"/>
      <scheme val="minor"/>
    </font>
    <font>
      <name val="Arial"/>
      <b val="1"/>
      <color rgb="002A3F5F"/>
      <sz val="16"/>
    </font>
    <font>
      <name val="Arial"/>
      <i val="1"/>
      <color rgb="00595959"/>
      <sz val="9"/>
    </font>
    <font>
      <name val="Arial"/>
      <b val="1"/>
      <color rgb="002A3F5F"/>
      <sz val="12"/>
    </font>
    <font>
      <name val="Arial"/>
      <b val="1"/>
      <color rgb="00FFFFFF"/>
      <sz val="12"/>
    </font>
    <font>
      <name val="Arial"/>
      <sz val="10"/>
    </font>
    <font>
      <name val="Arial"/>
      <b val="1"/>
      <color rgb="00FFFFFF"/>
      <sz val="11"/>
    </font>
    <font>
      <name val="Arial"/>
      <color rgb="000000FF"/>
      <sz val="10"/>
    </font>
    <font>
      <name val="Arial"/>
      <color rgb="00000000"/>
      <sz val="10"/>
    </font>
    <font>
      <name val="Arial"/>
      <b val="1"/>
      <sz val="11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002A3F5F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DE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7" fillId="4" borderId="1" applyAlignment="1" pivotButton="0" quotePrefix="0" xfId="0">
      <alignment horizontal="center" vertical="center"/>
    </xf>
    <xf numFmtId="1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" fontId="9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4" fillId="2" borderId="0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TruNorth Scoring Calculator (Build 54)</t>
        </is>
      </c>
    </row>
    <row r="2">
      <c r="A2" s="2" t="inlineStr"/>
    </row>
    <row r="3">
      <c r="A3" s="3" t="inlineStr">
        <is>
          <t>Last updated: 2026-06-09 (post Build 54)</t>
        </is>
      </c>
    </row>
    <row r="4">
      <c r="A4" s="3" t="inlineStr">
        <is>
          <t>Source of truth: src/App.jsx lines 623–810 (scoreCat + computeScore) and scripts/rebake-scoring.mjs (non-personalized baseScoreCat)</t>
        </is>
      </c>
    </row>
    <row r="5">
      <c r="A5" s="2" t="inlineStr"/>
    </row>
    <row r="6">
      <c r="A6" s="4" t="inlineStr">
        <is>
          <t>HOW TO USE</t>
        </is>
      </c>
    </row>
    <row r="7">
      <c r="A7" s="2" t="inlineStr">
        <is>
          <t>Open the 'Calculator' sheet. Yellow cells (blue text) are inputs you can edit. Light-blue cells (black text) are formulas — they recompute live.</t>
        </is>
      </c>
    </row>
    <row r="8">
      <c r="A8" s="2" t="inlineStr">
        <is>
          <t>Three preset rows: Wendy's, Patagonia, and a Custom row. Override any input in the Custom row to model a hypothetical brand and watch the grade respond.</t>
        </is>
      </c>
    </row>
    <row r="9">
      <c r="A9" s="2" t="inlineStr"/>
    </row>
    <row r="10">
      <c r="A10" s="4" t="inlineStr">
        <is>
          <t>SHEETS</t>
        </is>
      </c>
    </row>
    <row r="11">
      <c r="A11" s="2" t="inlineStr">
        <is>
          <t>• Calculator — the interactive model</t>
        </is>
      </c>
    </row>
    <row r="12">
      <c r="A12" s="2" t="inlineStr">
        <is>
          <t>• scoreCat — per-category enum→score lookup (used by Calculator's VLOOKUPs)</t>
        </is>
      </c>
    </row>
    <row r="13">
      <c r="A13" s="2" t="inlineStr">
        <is>
          <t>• Weights — base weights + boost multipliers</t>
        </is>
      </c>
    </row>
    <row r="14">
      <c r="A14" s="2" t="inlineStr">
        <is>
          <t>• Dealbreakers — penalty rules + worked example</t>
        </is>
      </c>
    </row>
    <row r="15">
      <c r="A15" s="2" t="inlineStr">
        <is>
          <t>• Grade Thresholds — A/B/C/D/F bands</t>
        </is>
      </c>
    </row>
    <row r="16">
      <c r="A16" s="2" t="inlineStr"/>
    </row>
    <row r="17">
      <c r="A17" s="4" t="inlineStr">
        <is>
          <t>MODEL OVERVIEW</t>
        </is>
      </c>
    </row>
    <row r="18">
      <c r="A18" s="2" t="inlineStr">
        <is>
          <t>For each of 10 categories: enum value × (effective weight) → contribution. Effective weight = quizWeight × boost (boost ranges 1×–4× based on user lean strength).</t>
        </is>
      </c>
    </row>
    <row r="19">
      <c r="A19" s="2" t="inlineStr">
        <is>
          <t>Sum contributions where the category has data (not neutral, not 'No public record found') / sum of effective weights = pre-penalty score.</t>
        </is>
      </c>
    </row>
    <row r="20">
      <c r="A20" s="2" t="inlineStr">
        <is>
          <t>Subtract dealbreaker penalties (foreign-own −30, antitrust −25, child-labor −30, etc.).</t>
        </is>
      </c>
    </row>
    <row r="21">
      <c r="A21" s="2" t="inlineStr">
        <is>
          <t>Clamp to [0, 100], round, map to letter grade.</t>
        </is>
      </c>
    </row>
    <row r="22">
      <c r="A22" s="2" t="inlineStr"/>
    </row>
    <row r="23">
      <c r="A23" s="4" t="inlineStr">
        <is>
          <t>KEY DESIGN DECISIONS (Build 54)</t>
        </is>
      </c>
    </row>
    <row r="24">
      <c r="A24" s="2" t="inlineStr">
        <is>
          <t>• Political = bipartisan scores 55 (was 75) — was triggering accidental A grades for single-signal bipartisan brands.</t>
        </is>
      </c>
    </row>
    <row r="25">
      <c r="A25" s="2" t="inlineStr">
        <is>
          <t>• Categories with 'No public record found.' in detail are EXCLUDED from the weighted average (don't pull score toward 50).</t>
        </is>
      </c>
    </row>
    <row r="26">
      <c r="A26" s="2" t="inlineStr">
        <is>
          <t>• Brands with 0 contributing categories get overall=null → '?' grade (insufficient data) rather than misleading C-50.</t>
        </is>
      </c>
    </row>
    <row r="27">
      <c r="A27" s="2" t="inlineStr">
        <is>
          <t>• Personalization adjusts scores per category based on user quiz: a Democrat user sees right-donating brands at 8 (very low) for political, left-donating at 97 (very high).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1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2" customWidth="1" min="27" max="27"/>
    <col width="12" customWidth="1" min="28" max="28"/>
    <col width="12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</cols>
  <sheetData>
    <row r="1">
      <c r="A1" s="5" t="inlineStr">
        <is>
          <t>Brand</t>
        </is>
      </c>
      <c r="B1" s="5" t="inlineStr">
        <is>
          <t>Category enum values (INPUT — edit yellow cells)</t>
        </is>
      </c>
      <c r="L1" s="5" t="inlineStr">
        <is>
          <t>Quiz weights 1–3 (INPUT)</t>
        </is>
      </c>
      <c r="V1" s="5" t="inlineStr">
        <is>
          <t>User lean (INPUT)</t>
        </is>
      </c>
      <c r="AA1" s="5" t="inlineStr">
        <is>
          <t>Brand flags (INPUT)</t>
        </is>
      </c>
      <c r="AD1" s="5" t="inlineStr">
        <is>
          <t>Per-category score (FORMULA)</t>
        </is>
      </c>
      <c r="AN1" s="5" t="inlineStr">
        <is>
          <t>Effective weight (FORMULA)</t>
        </is>
      </c>
      <c r="AX1" s="5" t="inlineStr">
        <is>
          <t>Contribution = score × weight (FORMULA)</t>
        </is>
      </c>
      <c r="BH1" s="5" t="inlineStr">
        <is>
          <t>Result</t>
        </is>
      </c>
      <c r="BI1" s="5" t="inlineStr">
        <is>
          <t>Result</t>
        </is>
      </c>
      <c r="BJ1" s="5" t="inlineStr">
        <is>
          <t>Result</t>
        </is>
      </c>
      <c r="BK1" s="5" t="inlineStr">
        <is>
          <t>Result</t>
        </is>
      </c>
      <c r="BL1" s="5" t="inlineStr">
        <is>
          <t>Result</t>
        </is>
      </c>
      <c r="BM1" s="5" t="inlineStr">
        <is>
          <t>Result</t>
        </is>
      </c>
    </row>
    <row r="2">
      <c r="B2" s="6" t="inlineStr">
        <is>
          <t>political</t>
        </is>
      </c>
      <c r="C2" s="6" t="inlineStr">
        <is>
          <t>charity</t>
        </is>
      </c>
      <c r="D2" s="6" t="inlineStr">
        <is>
          <t>environment</t>
        </is>
      </c>
      <c r="E2" s="6" t="inlineStr">
        <is>
          <t>labor</t>
        </is>
      </c>
      <c r="F2" s="6" t="inlineStr">
        <is>
          <t>dei</t>
        </is>
      </c>
      <c r="G2" s="6" t="inlineStr">
        <is>
          <t>animals</t>
        </is>
      </c>
      <c r="H2" s="6" t="inlineStr">
        <is>
          <t>guns</t>
        </is>
      </c>
      <c r="I2" s="6" t="inlineStr">
        <is>
          <t>privacy</t>
        </is>
      </c>
      <c r="J2" s="6" t="inlineStr">
        <is>
          <t>execPay</t>
        </is>
      </c>
      <c r="K2" s="6" t="inlineStr">
        <is>
          <t>health</t>
        </is>
      </c>
      <c r="L2" s="6" t="inlineStr">
        <is>
          <t>w_political</t>
        </is>
      </c>
      <c r="M2" s="6" t="inlineStr">
        <is>
          <t>w_charity</t>
        </is>
      </c>
      <c r="N2" s="6" t="inlineStr">
        <is>
          <t>w_environment</t>
        </is>
      </c>
      <c r="O2" s="6" t="inlineStr">
        <is>
          <t>w_labor</t>
        </is>
      </c>
      <c r="P2" s="6" t="inlineStr">
        <is>
          <t>w_dei</t>
        </is>
      </c>
      <c r="Q2" s="6" t="inlineStr">
        <is>
          <t>w_animals</t>
        </is>
      </c>
      <c r="R2" s="6" t="inlineStr">
        <is>
          <t>w_guns</t>
        </is>
      </c>
      <c r="S2" s="6" t="inlineStr">
        <is>
          <t>w_privacy</t>
        </is>
      </c>
      <c r="T2" s="6" t="inlineStr">
        <is>
          <t>w_execPay</t>
        </is>
      </c>
      <c r="U2" s="6" t="inlineStr">
        <is>
          <t>w_health</t>
        </is>
      </c>
      <c r="V2" s="6" t="inlineStr">
        <is>
          <t>lean (political)</t>
        </is>
      </c>
      <c r="W2" s="6" t="inlineStr">
        <is>
          <t>deiLean</t>
        </is>
      </c>
      <c r="X2" s="6" t="inlineStr">
        <is>
          <t>animalTesting</t>
        </is>
      </c>
      <c r="Y2" s="6" t="inlineStr">
        <is>
          <t>guns pref</t>
        </is>
      </c>
      <c r="Z2" s="6" t="inlineStr">
        <is>
          <t>unionSupport</t>
        </is>
      </c>
      <c r="AA2" s="6" t="inlineStr">
        <is>
          <t>foreignOwned</t>
        </is>
      </c>
      <c r="AB2" s="6" t="inlineStr">
        <is>
          <t>antitrust</t>
        </is>
      </c>
      <c r="AC2" s="6" t="inlineStr">
        <is>
          <t>childLabor</t>
        </is>
      </c>
      <c r="AD2" s="6" t="inlineStr">
        <is>
          <t>sc_political</t>
        </is>
      </c>
      <c r="AE2" s="6" t="inlineStr">
        <is>
          <t>sc_charity</t>
        </is>
      </c>
      <c r="AF2" s="6" t="inlineStr">
        <is>
          <t>sc_environment</t>
        </is>
      </c>
      <c r="AG2" s="6" t="inlineStr">
        <is>
          <t>sc_labor</t>
        </is>
      </c>
      <c r="AH2" s="6" t="inlineStr">
        <is>
          <t>sc_dei</t>
        </is>
      </c>
      <c r="AI2" s="6" t="inlineStr">
        <is>
          <t>sc_animals</t>
        </is>
      </c>
      <c r="AJ2" s="6" t="inlineStr">
        <is>
          <t>sc_guns</t>
        </is>
      </c>
      <c r="AK2" s="6" t="inlineStr">
        <is>
          <t>sc_privacy</t>
        </is>
      </c>
      <c r="AL2" s="6" t="inlineStr">
        <is>
          <t>sc_execPay</t>
        </is>
      </c>
      <c r="AM2" s="6" t="inlineStr">
        <is>
          <t>sc_health</t>
        </is>
      </c>
      <c r="AN2" s="6" t="inlineStr">
        <is>
          <t>ew_political</t>
        </is>
      </c>
      <c r="AO2" s="6" t="inlineStr">
        <is>
          <t>ew_charity</t>
        </is>
      </c>
      <c r="AP2" s="6" t="inlineStr">
        <is>
          <t>ew_environment</t>
        </is>
      </c>
      <c r="AQ2" s="6" t="inlineStr">
        <is>
          <t>ew_labor</t>
        </is>
      </c>
      <c r="AR2" s="6" t="inlineStr">
        <is>
          <t>ew_dei</t>
        </is>
      </c>
      <c r="AS2" s="6" t="inlineStr">
        <is>
          <t>ew_animals</t>
        </is>
      </c>
      <c r="AT2" s="6" t="inlineStr">
        <is>
          <t>ew_guns</t>
        </is>
      </c>
      <c r="AU2" s="6" t="inlineStr">
        <is>
          <t>ew_privacy</t>
        </is>
      </c>
      <c r="AV2" s="6" t="inlineStr">
        <is>
          <t>ew_execPay</t>
        </is>
      </c>
      <c r="AW2" s="6" t="inlineStr">
        <is>
          <t>ew_health</t>
        </is>
      </c>
      <c r="AX2" s="6" t="inlineStr">
        <is>
          <t>c_political</t>
        </is>
      </c>
      <c r="AY2" s="6" t="inlineStr">
        <is>
          <t>c_charity</t>
        </is>
      </c>
      <c r="AZ2" s="6" t="inlineStr">
        <is>
          <t>c_environment</t>
        </is>
      </c>
      <c r="BA2" s="6" t="inlineStr">
        <is>
          <t>c_labor</t>
        </is>
      </c>
      <c r="BB2" s="6" t="inlineStr">
        <is>
          <t>c_dei</t>
        </is>
      </c>
      <c r="BC2" s="6" t="inlineStr">
        <is>
          <t>c_animals</t>
        </is>
      </c>
      <c r="BD2" s="6" t="inlineStr">
        <is>
          <t>c_guns</t>
        </is>
      </c>
      <c r="BE2" s="6" t="inlineStr">
        <is>
          <t>c_privacy</t>
        </is>
      </c>
      <c r="BF2" s="6" t="inlineStr">
        <is>
          <t>c_execPay</t>
        </is>
      </c>
      <c r="BG2" s="6" t="inlineStr">
        <is>
          <t>c_health</t>
        </is>
      </c>
      <c r="BH2" s="6" t="inlineStr">
        <is>
          <t>Σ weight</t>
        </is>
      </c>
      <c r="BI2" s="6" t="inlineStr">
        <is>
          <t>Σ contrib</t>
        </is>
      </c>
      <c r="BJ2" s="6" t="inlineStr">
        <is>
          <t>Pre-penalty</t>
        </is>
      </c>
      <c r="BK2" s="6" t="inlineStr">
        <is>
          <t>Penalty</t>
        </is>
      </c>
      <c r="BL2" s="6" t="inlineStr">
        <is>
          <t>Final</t>
        </is>
      </c>
      <c r="BM2" s="6" t="inlineStr">
        <is>
          <t>Grade</t>
        </is>
      </c>
    </row>
    <row r="3">
      <c r="A3" s="7" t="inlineStr">
        <is>
          <t>Wendy's (preset)</t>
        </is>
      </c>
      <c r="B3" s="8" t="inlineStr">
        <is>
          <t>right</t>
        </is>
      </c>
      <c r="C3" s="8" t="inlineStr">
        <is>
          <t>mixed</t>
        </is>
      </c>
      <c r="D3" s="8" t="inlineStr">
        <is>
          <t>neutral</t>
        </is>
      </c>
      <c r="E3" s="8" t="inlineStr">
        <is>
          <t>mixed</t>
        </is>
      </c>
      <c r="F3" s="8" t="inlineStr">
        <is>
          <t>neutral</t>
        </is>
      </c>
      <c r="G3" s="8" t="inlineStr">
        <is>
          <t>na</t>
        </is>
      </c>
      <c r="H3" s="8" t="inlineStr">
        <is>
          <t>neutral</t>
        </is>
      </c>
      <c r="I3" s="8" t="inlineStr">
        <is>
          <t>neutral</t>
        </is>
      </c>
      <c r="J3" s="8" t="inlineStr">
        <is>
          <t>na</t>
        </is>
      </c>
      <c r="K3" s="8" t="inlineStr">
        <is>
          <t>neutral</t>
        </is>
      </c>
      <c r="L3" s="8" t="n">
        <v>3</v>
      </c>
      <c r="M3" s="8" t="n">
        <v>2</v>
      </c>
      <c r="N3" s="8" t="n">
        <v>3</v>
      </c>
      <c r="O3" s="8" t="n">
        <v>3</v>
      </c>
      <c r="P3" s="8" t="n">
        <v>3</v>
      </c>
      <c r="Q3" s="8" t="n">
        <v>2</v>
      </c>
      <c r="R3" s="8" t="n">
        <v>2</v>
      </c>
      <c r="S3" s="8" t="n">
        <v>2</v>
      </c>
      <c r="T3" s="8" t="n">
        <v>2</v>
      </c>
      <c r="U3" s="8" t="n">
        <v>2</v>
      </c>
      <c r="V3" s="8" t="inlineStr">
        <is>
          <t>left</t>
        </is>
      </c>
      <c r="W3" s="8" t="inlineStr">
        <is>
          <t>pro</t>
        </is>
      </c>
      <c r="X3" s="8" t="inlineStr">
        <is>
          <t>prefer_not</t>
        </is>
      </c>
      <c r="Y3" s="8" t="inlineStr">
        <is>
          <t>avoid</t>
        </is>
      </c>
      <c r="Z3" s="8" t="inlineStr">
        <is>
          <t>pro</t>
        </is>
      </c>
      <c r="AA3" s="8" t="b">
        <v>0</v>
      </c>
      <c r="AB3" s="8" t="b">
        <v>0</v>
      </c>
      <c r="AC3" s="8" t="b">
        <v>0</v>
      </c>
      <c r="AD3" s="9">
        <f>IFERROR(INDEX(scoreCat!$D$2:$D$99,MATCH("political|"&amp;B3&amp;"|"&amp;V3,scoreCat!$F$2:$F$99,0)),50)</f>
        <v/>
      </c>
      <c r="AE3" s="9">
        <f>IFERROR(INDEX(scoreCat!$D$2:$D$99,MATCH("charity|"&amp;C3&amp;"|any",scoreCat!$F$2:$F$99,0)),50)</f>
        <v/>
      </c>
      <c r="AF3" s="9">
        <f>IFERROR(INDEX(scoreCat!$D$2:$D$99,MATCH("environment|"&amp;D3&amp;"|any",scoreCat!$F$2:$F$99,0)),50)</f>
        <v/>
      </c>
      <c r="AG3" s="9">
        <f>IFERROR(INDEX(scoreCat!$D$2:$D$99,MATCH("labor|"&amp;E3&amp;"|"&amp;Z3,scoreCat!$F$2:$F$99,0)),50)</f>
        <v/>
      </c>
      <c r="AH3" s="9">
        <f>IFERROR(INDEX(scoreCat!$D$2:$D$99,MATCH("dei|"&amp;F3&amp;"|"&amp;W3,scoreCat!$F$2:$F$99,0)),50)</f>
        <v/>
      </c>
      <c r="AI3" s="9">
        <f>IFERROR(INDEX(scoreCat!$D$2:$D$99,MATCH("animals|"&amp;G3&amp;"|"&amp;X3,scoreCat!$F$2:$F$99,0)),50)</f>
        <v/>
      </c>
      <c r="AJ3" s="9">
        <f>IFERROR(INDEX(scoreCat!$D$2:$D$99,MATCH("guns|"&amp;H3&amp;"|"&amp;Y3,scoreCat!$F$2:$F$99,0)),50)</f>
        <v/>
      </c>
      <c r="AK3" s="9">
        <f>IFERROR(INDEX(scoreCat!$D$2:$D$99,MATCH("privacy|"&amp;I3&amp;"|any",scoreCat!$F$2:$F$99,0)),50)</f>
        <v/>
      </c>
      <c r="AL3" s="9">
        <f>IFERROR(INDEX(scoreCat!$D$2:$D$99,MATCH("execPay|"&amp;J3&amp;"|any",scoreCat!$F$2:$F$99,0)),50)</f>
        <v/>
      </c>
      <c r="AM3" s="9">
        <f>IFERROR(INDEX(scoreCat!$D$2:$D$99,MATCH("health|"&amp;K3&amp;"|any",scoreCat!$F$2:$F$99,0)),50)</f>
        <v/>
      </c>
      <c r="AN3" s="9">
        <f>L3*IF(AND(V3&lt;&gt;"neutral",V3&lt;&gt;""),2,1)</f>
        <v/>
      </c>
      <c r="AO3" s="9">
        <f>M3*1</f>
        <v/>
      </c>
      <c r="AP3" s="9">
        <f>N3*1</f>
        <v/>
      </c>
      <c r="AQ3" s="9">
        <f>O3*IF(AND(Z3&lt;&gt;"neutral",Z3&lt;&gt;""),2,1)</f>
        <v/>
      </c>
      <c r="AR3" s="9">
        <f>P3*IF(AND(W3&lt;&gt;"neutral",W3&lt;&gt;""),2,1)</f>
        <v/>
      </c>
      <c r="AS3" s="9">
        <f>Q3*IF(AND(X3&lt;&gt;"neutral",X3&lt;&gt;""),2,1)</f>
        <v/>
      </c>
      <c r="AT3" s="9">
        <f>R3*IF(AND(Y3&lt;&gt;"neutral",Y3&lt;&gt;""),4,1)</f>
        <v/>
      </c>
      <c r="AU3" s="9">
        <f>S3*1</f>
        <v/>
      </c>
      <c r="AV3" s="9">
        <f>T3*1</f>
        <v/>
      </c>
      <c r="AW3" s="9">
        <f>U3*1</f>
        <v/>
      </c>
      <c r="AX3" s="9">
        <f>IF(OR(B3="neutral",B3="na",B3="n/a",B3=""),0,AD3*AN3)</f>
        <v/>
      </c>
      <c r="AY3" s="9">
        <f>IF(OR(C3="neutral",C3="na",C3="n/a",C3=""),0,AE3*AO3)</f>
        <v/>
      </c>
      <c r="AZ3" s="9">
        <f>IF(OR(D3="neutral",D3="na",D3="n/a",D3=""),0,AF3*AP3)</f>
        <v/>
      </c>
      <c r="BA3" s="9">
        <f>IF(OR(E3="neutral",E3="na",E3="n/a",E3=""),0,AG3*AQ3)</f>
        <v/>
      </c>
      <c r="BB3" s="9">
        <f>IF(OR(F3="neutral",F3="na",F3="n/a",F3=""),0,AH3*AR3)</f>
        <v/>
      </c>
      <c r="BC3" s="9">
        <f>IF(OR(G3="neutral",G3="na",G3="n/a",G3=""),0,AI3*AS3)</f>
        <v/>
      </c>
      <c r="BD3" s="9">
        <f>IF(OR(H3="neutral",H3="na",H3="n/a",H3=""),0,AJ3*AT3)</f>
        <v/>
      </c>
      <c r="BE3" s="9">
        <f>IF(OR(I3="neutral",I3="na",I3="n/a",I3=""),0,AK3*AU3)</f>
        <v/>
      </c>
      <c r="BF3" s="9">
        <f>IF(OR(J3="neutral",J3="na",J3="n/a",J3=""),0,AL3*AV3)</f>
        <v/>
      </c>
      <c r="BG3" s="9">
        <f>IF(OR(K3="neutral",K3="na",K3="n/a",K3=""),0,AM3*AW3)</f>
        <v/>
      </c>
      <c r="BH3" s="9">
        <f>IF(OR(B3="neutral",B3="na",B3="n/a",B3=""),0,AN3)+IF(OR(C3="neutral",C3="na",C3="n/a",C3=""),0,AO3)+IF(OR(D3="neutral",D3="na",D3="n/a",D3=""),0,AP3)+IF(OR(E3="neutral",E3="na",E3="n/a",E3=""),0,AQ3)+IF(OR(F3="neutral",F3="na",F3="n/a",F3=""),0,AR3)+IF(OR(G3="neutral",G3="na",G3="n/a",G3=""),0,AS3)+IF(OR(H3="neutral",H3="na",H3="n/a",H3=""),0,AT3)+IF(OR(I3="neutral",I3="na",I3="n/a",I3=""),0,AU3)+IF(OR(J3="neutral",J3="na",J3="n/a",J3=""),0,AV3)+IF(OR(K3="neutral",K3="na",K3="n/a",K3=""),0,AW3)</f>
        <v/>
      </c>
      <c r="BI3" s="9">
        <f>SUM(AX3:BG3)</f>
        <v/>
      </c>
      <c r="BJ3" s="10">
        <f>IF(BH3=0,"?",BI3/BH3)</f>
        <v/>
      </c>
      <c r="BK3" s="9">
        <f>IF(AA3=TRUE,30,0)+IF(AB3=TRUE,25,0)+IF(AC3=TRUE,30,0)</f>
        <v/>
      </c>
      <c r="BL3" s="11">
        <f>IF(BJ3="?","?",MAX(0,MIN(100,ROUND(BJ3-BK3,0))))</f>
        <v/>
      </c>
      <c r="BM3" s="12">
        <f>IF(BL3="?","?",IF(BL3&gt;=75,"A",IF(BL3&gt;=62,"B",IF(BL3&gt;=48,"C",IF(BL3&gt;=35,"D","F")))))</f>
        <v/>
      </c>
    </row>
    <row r="4">
      <c r="A4" s="7" t="inlineStr">
        <is>
          <t>Patagonia (preset)</t>
        </is>
      </c>
      <c r="B4" s="8" t="inlineStr">
        <is>
          <t>neutral</t>
        </is>
      </c>
      <c r="C4" s="8" t="inlineStr">
        <is>
          <t>positive</t>
        </is>
      </c>
      <c r="D4" s="8" t="inlineStr">
        <is>
          <t>positive</t>
        </is>
      </c>
      <c r="E4" s="8" t="inlineStr">
        <is>
          <t>neutral</t>
        </is>
      </c>
      <c r="F4" s="8" t="inlineStr">
        <is>
          <t>neutral</t>
        </is>
      </c>
      <c r="G4" s="8" t="inlineStr">
        <is>
          <t>na</t>
        </is>
      </c>
      <c r="H4" s="8" t="inlineStr">
        <is>
          <t>neutral</t>
        </is>
      </c>
      <c r="I4" s="8" t="inlineStr">
        <is>
          <t>na</t>
        </is>
      </c>
      <c r="J4" s="8" t="inlineStr">
        <is>
          <t>na</t>
        </is>
      </c>
      <c r="K4" s="8" t="inlineStr">
        <is>
          <t>neutral</t>
        </is>
      </c>
      <c r="L4" s="8" t="n">
        <v>3</v>
      </c>
      <c r="M4" s="8" t="n">
        <v>2</v>
      </c>
      <c r="N4" s="8" t="n">
        <v>3</v>
      </c>
      <c r="O4" s="8" t="n">
        <v>3</v>
      </c>
      <c r="P4" s="8" t="n">
        <v>3</v>
      </c>
      <c r="Q4" s="8" t="n">
        <v>2</v>
      </c>
      <c r="R4" s="8" t="n">
        <v>2</v>
      </c>
      <c r="S4" s="8" t="n">
        <v>2</v>
      </c>
      <c r="T4" s="8" t="n">
        <v>2</v>
      </c>
      <c r="U4" s="8" t="n">
        <v>2</v>
      </c>
      <c r="V4" s="8" t="inlineStr">
        <is>
          <t>left</t>
        </is>
      </c>
      <c r="W4" s="8" t="inlineStr">
        <is>
          <t>pro</t>
        </is>
      </c>
      <c r="X4" s="8" t="inlineStr">
        <is>
          <t>prefer_not</t>
        </is>
      </c>
      <c r="Y4" s="8" t="inlineStr">
        <is>
          <t>avoid</t>
        </is>
      </c>
      <c r="Z4" s="8" t="inlineStr">
        <is>
          <t>pro</t>
        </is>
      </c>
      <c r="AA4" s="8" t="b">
        <v>0</v>
      </c>
      <c r="AB4" s="8" t="b">
        <v>0</v>
      </c>
      <c r="AC4" s="8" t="b">
        <v>0</v>
      </c>
      <c r="AD4" s="9">
        <f>IFERROR(INDEX(scoreCat!$D$2:$D$99,MATCH("political|"&amp;B4&amp;"|"&amp;V4,scoreCat!$F$2:$F$99,0)),50)</f>
        <v/>
      </c>
      <c r="AE4" s="9">
        <f>IFERROR(INDEX(scoreCat!$D$2:$D$99,MATCH("charity|"&amp;C4&amp;"|any",scoreCat!$F$2:$F$99,0)),50)</f>
        <v/>
      </c>
      <c r="AF4" s="9">
        <f>IFERROR(INDEX(scoreCat!$D$2:$D$99,MATCH("environment|"&amp;D4&amp;"|any",scoreCat!$F$2:$F$99,0)),50)</f>
        <v/>
      </c>
      <c r="AG4" s="9">
        <f>IFERROR(INDEX(scoreCat!$D$2:$D$99,MATCH("labor|"&amp;E4&amp;"|"&amp;Z4,scoreCat!$F$2:$F$99,0)),50)</f>
        <v/>
      </c>
      <c r="AH4" s="9">
        <f>IFERROR(INDEX(scoreCat!$D$2:$D$99,MATCH("dei|"&amp;F4&amp;"|"&amp;W4,scoreCat!$F$2:$F$99,0)),50)</f>
        <v/>
      </c>
      <c r="AI4" s="9">
        <f>IFERROR(INDEX(scoreCat!$D$2:$D$99,MATCH("animals|"&amp;G4&amp;"|"&amp;X4,scoreCat!$F$2:$F$99,0)),50)</f>
        <v/>
      </c>
      <c r="AJ4" s="9">
        <f>IFERROR(INDEX(scoreCat!$D$2:$D$99,MATCH("guns|"&amp;H4&amp;"|"&amp;Y4,scoreCat!$F$2:$F$99,0)),50)</f>
        <v/>
      </c>
      <c r="AK4" s="9">
        <f>IFERROR(INDEX(scoreCat!$D$2:$D$99,MATCH("privacy|"&amp;I4&amp;"|any",scoreCat!$F$2:$F$99,0)),50)</f>
        <v/>
      </c>
      <c r="AL4" s="9">
        <f>IFERROR(INDEX(scoreCat!$D$2:$D$99,MATCH("execPay|"&amp;J4&amp;"|any",scoreCat!$F$2:$F$99,0)),50)</f>
        <v/>
      </c>
      <c r="AM4" s="9">
        <f>IFERROR(INDEX(scoreCat!$D$2:$D$99,MATCH("health|"&amp;K4&amp;"|any",scoreCat!$F$2:$F$99,0)),50)</f>
        <v/>
      </c>
      <c r="AN4" s="9">
        <f>L4*IF(AND(V4&lt;&gt;"neutral",V4&lt;&gt;""),2,1)</f>
        <v/>
      </c>
      <c r="AO4" s="9">
        <f>M4*1</f>
        <v/>
      </c>
      <c r="AP4" s="9">
        <f>N4*1</f>
        <v/>
      </c>
      <c r="AQ4" s="9">
        <f>O4*IF(AND(Z4&lt;&gt;"neutral",Z4&lt;&gt;""),2,1)</f>
        <v/>
      </c>
      <c r="AR4" s="9">
        <f>P4*IF(AND(W4&lt;&gt;"neutral",W4&lt;&gt;""),2,1)</f>
        <v/>
      </c>
      <c r="AS4" s="9">
        <f>Q4*IF(AND(X4&lt;&gt;"neutral",X4&lt;&gt;""),2,1)</f>
        <v/>
      </c>
      <c r="AT4" s="9">
        <f>R4*IF(AND(Y4&lt;&gt;"neutral",Y4&lt;&gt;""),4,1)</f>
        <v/>
      </c>
      <c r="AU4" s="9">
        <f>S4*1</f>
        <v/>
      </c>
      <c r="AV4" s="9">
        <f>T4*1</f>
        <v/>
      </c>
      <c r="AW4" s="9">
        <f>U4*1</f>
        <v/>
      </c>
      <c r="AX4" s="9">
        <f>IF(OR(B4="neutral",B4="na",B4="n/a",B4=""),0,AD4*AN4)</f>
        <v/>
      </c>
      <c r="AY4" s="9">
        <f>IF(OR(C4="neutral",C4="na",C4="n/a",C4=""),0,AE4*AO4)</f>
        <v/>
      </c>
      <c r="AZ4" s="9">
        <f>IF(OR(D4="neutral",D4="na",D4="n/a",D4=""),0,AF4*AP4)</f>
        <v/>
      </c>
      <c r="BA4" s="9">
        <f>IF(OR(E4="neutral",E4="na",E4="n/a",E4=""),0,AG4*AQ4)</f>
        <v/>
      </c>
      <c r="BB4" s="9">
        <f>IF(OR(F4="neutral",F4="na",F4="n/a",F4=""),0,AH4*AR4)</f>
        <v/>
      </c>
      <c r="BC4" s="9">
        <f>IF(OR(G4="neutral",G4="na",G4="n/a",G4=""),0,AI4*AS4)</f>
        <v/>
      </c>
      <c r="BD4" s="9">
        <f>IF(OR(H4="neutral",H4="na",H4="n/a",H4=""),0,AJ4*AT4)</f>
        <v/>
      </c>
      <c r="BE4" s="9">
        <f>IF(OR(I4="neutral",I4="na",I4="n/a",I4=""),0,AK4*AU4)</f>
        <v/>
      </c>
      <c r="BF4" s="9">
        <f>IF(OR(J4="neutral",J4="na",J4="n/a",J4=""),0,AL4*AV4)</f>
        <v/>
      </c>
      <c r="BG4" s="9">
        <f>IF(OR(K4="neutral",K4="na",K4="n/a",K4=""),0,AM4*AW4)</f>
        <v/>
      </c>
      <c r="BH4" s="9">
        <f>IF(OR(B4="neutral",B4="na",B4="n/a",B4=""),0,AN4)+IF(OR(C4="neutral",C4="na",C4="n/a",C4=""),0,AO4)+IF(OR(D4="neutral",D4="na",D4="n/a",D4=""),0,AP4)+IF(OR(E4="neutral",E4="na",E4="n/a",E4=""),0,AQ4)+IF(OR(F4="neutral",F4="na",F4="n/a",F4=""),0,AR4)+IF(OR(G4="neutral",G4="na",G4="n/a",G4=""),0,AS4)+IF(OR(H4="neutral",H4="na",H4="n/a",H4=""),0,AT4)+IF(OR(I4="neutral",I4="na",I4="n/a",I4=""),0,AU4)+IF(OR(J4="neutral",J4="na",J4="n/a",J4=""),0,AV4)+IF(OR(K4="neutral",K4="na",K4="n/a",K4=""),0,AW4)</f>
        <v/>
      </c>
      <c r="BI4" s="9">
        <f>SUM(AX4:BG4)</f>
        <v/>
      </c>
      <c r="BJ4" s="10">
        <f>IF(BH4=0,"?",BI4/BH4)</f>
        <v/>
      </c>
      <c r="BK4" s="9">
        <f>IF(AA4=TRUE,30,0)+IF(AB4=TRUE,25,0)+IF(AC4=TRUE,30,0)</f>
        <v/>
      </c>
      <c r="BL4" s="11">
        <f>IF(BJ4="?","?",MAX(0,MIN(100,ROUND(BJ4-BK4,0))))</f>
        <v/>
      </c>
      <c r="BM4" s="12">
        <f>IF(BL4="?","?",IF(BL4&gt;=75,"A",IF(BL4&gt;=62,"B",IF(BL4&gt;=48,"C",IF(BL4&gt;=35,"D","F")))))</f>
        <v/>
      </c>
    </row>
    <row r="5">
      <c r="A5" s="7" t="inlineStr">
        <is>
          <t>Nestlé (preset)</t>
        </is>
      </c>
      <c r="B5" s="8" t="inlineStr">
        <is>
          <t>bipartisan</t>
        </is>
      </c>
      <c r="C5" s="8" t="inlineStr">
        <is>
          <t>mixed</t>
        </is>
      </c>
      <c r="D5" s="8" t="inlineStr">
        <is>
          <t>neutral</t>
        </is>
      </c>
      <c r="E5" s="8" t="inlineStr">
        <is>
          <t>neutral</t>
        </is>
      </c>
      <c r="F5" s="8" t="inlineStr">
        <is>
          <t>neutral</t>
        </is>
      </c>
      <c r="G5" s="8" t="inlineStr">
        <is>
          <t>neutral</t>
        </is>
      </c>
      <c r="H5" s="8" t="inlineStr">
        <is>
          <t>neutral</t>
        </is>
      </c>
      <c r="I5" s="8" t="inlineStr">
        <is>
          <t>neutral</t>
        </is>
      </c>
      <c r="J5" s="8" t="inlineStr">
        <is>
          <t>na</t>
        </is>
      </c>
      <c r="K5" s="8" t="inlineStr">
        <is>
          <t>neutral</t>
        </is>
      </c>
      <c r="L5" s="8" t="n">
        <v>3</v>
      </c>
      <c r="M5" s="8" t="n">
        <v>2</v>
      </c>
      <c r="N5" s="8" t="n">
        <v>3</v>
      </c>
      <c r="O5" s="8" t="n">
        <v>3</v>
      </c>
      <c r="P5" s="8" t="n">
        <v>3</v>
      </c>
      <c r="Q5" s="8" t="n">
        <v>2</v>
      </c>
      <c r="R5" s="8" t="n">
        <v>2</v>
      </c>
      <c r="S5" s="8" t="n">
        <v>2</v>
      </c>
      <c r="T5" s="8" t="n">
        <v>2</v>
      </c>
      <c r="U5" s="8" t="n">
        <v>2</v>
      </c>
      <c r="V5" s="8" t="inlineStr">
        <is>
          <t>left</t>
        </is>
      </c>
      <c r="W5" s="8" t="inlineStr">
        <is>
          <t>pro</t>
        </is>
      </c>
      <c r="X5" s="8" t="inlineStr">
        <is>
          <t>prefer_not</t>
        </is>
      </c>
      <c r="Y5" s="8" t="inlineStr">
        <is>
          <t>avoid</t>
        </is>
      </c>
      <c r="Z5" s="8" t="inlineStr">
        <is>
          <t>pro</t>
        </is>
      </c>
      <c r="AA5" s="8" t="b">
        <v>1</v>
      </c>
      <c r="AB5" s="8" t="b">
        <v>0</v>
      </c>
      <c r="AC5" s="8" t="b">
        <v>0</v>
      </c>
      <c r="AD5" s="9">
        <f>IFERROR(INDEX(scoreCat!$D$2:$D$99,MATCH("political|"&amp;B5&amp;"|"&amp;V5,scoreCat!$F$2:$F$99,0)),50)</f>
        <v/>
      </c>
      <c r="AE5" s="9">
        <f>IFERROR(INDEX(scoreCat!$D$2:$D$99,MATCH("charity|"&amp;C5&amp;"|any",scoreCat!$F$2:$F$99,0)),50)</f>
        <v/>
      </c>
      <c r="AF5" s="9">
        <f>IFERROR(INDEX(scoreCat!$D$2:$D$99,MATCH("environment|"&amp;D5&amp;"|any",scoreCat!$F$2:$F$99,0)),50)</f>
        <v/>
      </c>
      <c r="AG5" s="9">
        <f>IFERROR(INDEX(scoreCat!$D$2:$D$99,MATCH("labor|"&amp;E5&amp;"|"&amp;Z5,scoreCat!$F$2:$F$99,0)),50)</f>
        <v/>
      </c>
      <c r="AH5" s="9">
        <f>IFERROR(INDEX(scoreCat!$D$2:$D$99,MATCH("dei|"&amp;F5&amp;"|"&amp;W5,scoreCat!$F$2:$F$99,0)),50)</f>
        <v/>
      </c>
      <c r="AI5" s="9">
        <f>IFERROR(INDEX(scoreCat!$D$2:$D$99,MATCH("animals|"&amp;G5&amp;"|"&amp;X5,scoreCat!$F$2:$F$99,0)),50)</f>
        <v/>
      </c>
      <c r="AJ5" s="9">
        <f>IFERROR(INDEX(scoreCat!$D$2:$D$99,MATCH("guns|"&amp;H5&amp;"|"&amp;Y5,scoreCat!$F$2:$F$99,0)),50)</f>
        <v/>
      </c>
      <c r="AK5" s="9">
        <f>IFERROR(INDEX(scoreCat!$D$2:$D$99,MATCH("privacy|"&amp;I5&amp;"|any",scoreCat!$F$2:$F$99,0)),50)</f>
        <v/>
      </c>
      <c r="AL5" s="9">
        <f>IFERROR(INDEX(scoreCat!$D$2:$D$99,MATCH("execPay|"&amp;J5&amp;"|any",scoreCat!$F$2:$F$99,0)),50)</f>
        <v/>
      </c>
      <c r="AM5" s="9">
        <f>IFERROR(INDEX(scoreCat!$D$2:$D$99,MATCH("health|"&amp;K5&amp;"|any",scoreCat!$F$2:$F$99,0)),50)</f>
        <v/>
      </c>
      <c r="AN5" s="9">
        <f>L5*IF(AND(V5&lt;&gt;"neutral",V5&lt;&gt;""),2,1)</f>
        <v/>
      </c>
      <c r="AO5" s="9">
        <f>M5*1</f>
        <v/>
      </c>
      <c r="AP5" s="9">
        <f>N5*1</f>
        <v/>
      </c>
      <c r="AQ5" s="9">
        <f>O5*IF(AND(Z5&lt;&gt;"neutral",Z5&lt;&gt;""),2,1)</f>
        <v/>
      </c>
      <c r="AR5" s="9">
        <f>P5*IF(AND(W5&lt;&gt;"neutral",W5&lt;&gt;""),2,1)</f>
        <v/>
      </c>
      <c r="AS5" s="9">
        <f>Q5*IF(AND(X5&lt;&gt;"neutral",X5&lt;&gt;""),2,1)</f>
        <v/>
      </c>
      <c r="AT5" s="9">
        <f>R5*IF(AND(Y5&lt;&gt;"neutral",Y5&lt;&gt;""),4,1)</f>
        <v/>
      </c>
      <c r="AU5" s="9">
        <f>S5*1</f>
        <v/>
      </c>
      <c r="AV5" s="9">
        <f>T5*1</f>
        <v/>
      </c>
      <c r="AW5" s="9">
        <f>U5*1</f>
        <v/>
      </c>
      <c r="AX5" s="9">
        <f>IF(OR(B5="neutral",B5="na",B5="n/a",B5=""),0,AD5*AN5)</f>
        <v/>
      </c>
      <c r="AY5" s="9">
        <f>IF(OR(C5="neutral",C5="na",C5="n/a",C5=""),0,AE5*AO5)</f>
        <v/>
      </c>
      <c r="AZ5" s="9">
        <f>IF(OR(D5="neutral",D5="na",D5="n/a",D5=""),0,AF5*AP5)</f>
        <v/>
      </c>
      <c r="BA5" s="9">
        <f>IF(OR(E5="neutral",E5="na",E5="n/a",E5=""),0,AG5*AQ5)</f>
        <v/>
      </c>
      <c r="BB5" s="9">
        <f>IF(OR(F5="neutral",F5="na",F5="n/a",F5=""),0,AH5*AR5)</f>
        <v/>
      </c>
      <c r="BC5" s="9">
        <f>IF(OR(G5="neutral",G5="na",G5="n/a",G5=""),0,AI5*AS5)</f>
        <v/>
      </c>
      <c r="BD5" s="9">
        <f>IF(OR(H5="neutral",H5="na",H5="n/a",H5=""),0,AJ5*AT5)</f>
        <v/>
      </c>
      <c r="BE5" s="9">
        <f>IF(OR(I5="neutral",I5="na",I5="n/a",I5=""),0,AK5*AU5)</f>
        <v/>
      </c>
      <c r="BF5" s="9">
        <f>IF(OR(J5="neutral",J5="na",J5="n/a",J5=""),0,AL5*AV5)</f>
        <v/>
      </c>
      <c r="BG5" s="9">
        <f>IF(OR(K5="neutral",K5="na",K5="n/a",K5=""),0,AM5*AW5)</f>
        <v/>
      </c>
      <c r="BH5" s="9">
        <f>IF(OR(B5="neutral",B5="na",B5="n/a",B5=""),0,AN5)+IF(OR(C5="neutral",C5="na",C5="n/a",C5=""),0,AO5)+IF(OR(D5="neutral",D5="na",D5="n/a",D5=""),0,AP5)+IF(OR(E5="neutral",E5="na",E5="n/a",E5=""),0,AQ5)+IF(OR(F5="neutral",F5="na",F5="n/a",F5=""),0,AR5)+IF(OR(G5="neutral",G5="na",G5="n/a",G5=""),0,AS5)+IF(OR(H5="neutral",H5="na",H5="n/a",H5=""),0,AT5)+IF(OR(I5="neutral",I5="na",I5="n/a",I5=""),0,AU5)+IF(OR(J5="neutral",J5="na",J5="n/a",J5=""),0,AV5)+IF(OR(K5="neutral",K5="na",K5="n/a",K5=""),0,AW5)</f>
        <v/>
      </c>
      <c r="BI5" s="9">
        <f>SUM(AX5:BG5)</f>
        <v/>
      </c>
      <c r="BJ5" s="10">
        <f>IF(BH5=0,"?",BI5/BH5)</f>
        <v/>
      </c>
      <c r="BK5" s="9">
        <f>IF(AA5=TRUE,30,0)+IF(AB5=TRUE,25,0)+IF(AC5=TRUE,30,0)</f>
        <v/>
      </c>
      <c r="BL5" s="11">
        <f>IF(BJ5="?","?",MAX(0,MIN(100,ROUND(BJ5-BK5,0))))</f>
        <v/>
      </c>
      <c r="BM5" s="12">
        <f>IF(BL5="?","?",IF(BL5&gt;=75,"A",IF(BL5&gt;=62,"B",IF(BL5&gt;=48,"C",IF(BL5&gt;=35,"D","F")))))</f>
        <v/>
      </c>
    </row>
    <row r="6">
      <c r="A6" s="7" t="inlineStr">
        <is>
          <t>Custom (your sandbox)</t>
        </is>
      </c>
      <c r="B6" s="8" t="inlineStr">
        <is>
          <t>right</t>
        </is>
      </c>
      <c r="C6" s="8" t="inlineStr">
        <is>
          <t>neutral</t>
        </is>
      </c>
      <c r="D6" s="8" t="inlineStr">
        <is>
          <t>poor</t>
        </is>
      </c>
      <c r="E6" s="8" t="inlineStr">
        <is>
          <t>poor</t>
        </is>
      </c>
      <c r="F6" s="8" t="inlineStr">
        <is>
          <t>neutral</t>
        </is>
      </c>
      <c r="G6" s="8" t="inlineStr">
        <is>
          <t>na</t>
        </is>
      </c>
      <c r="H6" s="8" t="inlineStr">
        <is>
          <t>neutral</t>
        </is>
      </c>
      <c r="I6" s="8" t="inlineStr">
        <is>
          <t>neutral</t>
        </is>
      </c>
      <c r="J6" s="8" t="inlineStr">
        <is>
          <t>na</t>
        </is>
      </c>
      <c r="K6" s="8" t="inlineStr">
        <is>
          <t>neutral</t>
        </is>
      </c>
      <c r="L6" s="8" t="n">
        <v>3</v>
      </c>
      <c r="M6" s="8" t="n">
        <v>2</v>
      </c>
      <c r="N6" s="8" t="n">
        <v>3</v>
      </c>
      <c r="O6" s="8" t="n">
        <v>3</v>
      </c>
      <c r="P6" s="8" t="n">
        <v>3</v>
      </c>
      <c r="Q6" s="8" t="n">
        <v>2</v>
      </c>
      <c r="R6" s="8" t="n">
        <v>2</v>
      </c>
      <c r="S6" s="8" t="n">
        <v>2</v>
      </c>
      <c r="T6" s="8" t="n">
        <v>2</v>
      </c>
      <c r="U6" s="8" t="n">
        <v>2</v>
      </c>
      <c r="V6" s="8" t="inlineStr">
        <is>
          <t>left</t>
        </is>
      </c>
      <c r="W6" s="8" t="inlineStr">
        <is>
          <t>pro</t>
        </is>
      </c>
      <c r="X6" s="8" t="inlineStr">
        <is>
          <t>prefer_not</t>
        </is>
      </c>
      <c r="Y6" s="8" t="inlineStr">
        <is>
          <t>avoid</t>
        </is>
      </c>
      <c r="Z6" s="8" t="inlineStr">
        <is>
          <t>pro</t>
        </is>
      </c>
      <c r="AA6" s="8" t="b">
        <v>0</v>
      </c>
      <c r="AB6" s="8" t="b">
        <v>0</v>
      </c>
      <c r="AC6" s="8" t="b">
        <v>0</v>
      </c>
      <c r="AD6" s="9">
        <f>IFERROR(INDEX(scoreCat!$D$2:$D$99,MATCH("political|"&amp;B6&amp;"|"&amp;V6,scoreCat!$F$2:$F$99,0)),50)</f>
        <v/>
      </c>
      <c r="AE6" s="9">
        <f>IFERROR(INDEX(scoreCat!$D$2:$D$99,MATCH("charity|"&amp;C6&amp;"|any",scoreCat!$F$2:$F$99,0)),50)</f>
        <v/>
      </c>
      <c r="AF6" s="9">
        <f>IFERROR(INDEX(scoreCat!$D$2:$D$99,MATCH("environment|"&amp;D6&amp;"|any",scoreCat!$F$2:$F$99,0)),50)</f>
        <v/>
      </c>
      <c r="AG6" s="9">
        <f>IFERROR(INDEX(scoreCat!$D$2:$D$99,MATCH("labor|"&amp;E6&amp;"|"&amp;Z6,scoreCat!$F$2:$F$99,0)),50)</f>
        <v/>
      </c>
      <c r="AH6" s="9">
        <f>IFERROR(INDEX(scoreCat!$D$2:$D$99,MATCH("dei|"&amp;F6&amp;"|"&amp;W6,scoreCat!$F$2:$F$99,0)),50)</f>
        <v/>
      </c>
      <c r="AI6" s="9">
        <f>IFERROR(INDEX(scoreCat!$D$2:$D$99,MATCH("animals|"&amp;G6&amp;"|"&amp;X6,scoreCat!$F$2:$F$99,0)),50)</f>
        <v/>
      </c>
      <c r="AJ6" s="9">
        <f>IFERROR(INDEX(scoreCat!$D$2:$D$99,MATCH("guns|"&amp;H6&amp;"|"&amp;Y6,scoreCat!$F$2:$F$99,0)),50)</f>
        <v/>
      </c>
      <c r="AK6" s="9">
        <f>IFERROR(INDEX(scoreCat!$D$2:$D$99,MATCH("privacy|"&amp;I6&amp;"|any",scoreCat!$F$2:$F$99,0)),50)</f>
        <v/>
      </c>
      <c r="AL6" s="9">
        <f>IFERROR(INDEX(scoreCat!$D$2:$D$99,MATCH("execPay|"&amp;J6&amp;"|any",scoreCat!$F$2:$F$99,0)),50)</f>
        <v/>
      </c>
      <c r="AM6" s="9">
        <f>IFERROR(INDEX(scoreCat!$D$2:$D$99,MATCH("health|"&amp;K6&amp;"|any",scoreCat!$F$2:$F$99,0)),50)</f>
        <v/>
      </c>
      <c r="AN6" s="9">
        <f>L6*IF(AND(V6&lt;&gt;"neutral",V6&lt;&gt;""),2,1)</f>
        <v/>
      </c>
      <c r="AO6" s="9">
        <f>M6*1</f>
        <v/>
      </c>
      <c r="AP6" s="9">
        <f>N6*1</f>
        <v/>
      </c>
      <c r="AQ6" s="9">
        <f>O6*IF(AND(Z6&lt;&gt;"neutral",Z6&lt;&gt;""),2,1)</f>
        <v/>
      </c>
      <c r="AR6" s="9">
        <f>P6*IF(AND(W6&lt;&gt;"neutral",W6&lt;&gt;""),2,1)</f>
        <v/>
      </c>
      <c r="AS6" s="9">
        <f>Q6*IF(AND(X6&lt;&gt;"neutral",X6&lt;&gt;""),2,1)</f>
        <v/>
      </c>
      <c r="AT6" s="9">
        <f>R6*IF(AND(Y6&lt;&gt;"neutral",Y6&lt;&gt;""),4,1)</f>
        <v/>
      </c>
      <c r="AU6" s="9">
        <f>S6*1</f>
        <v/>
      </c>
      <c r="AV6" s="9">
        <f>T6*1</f>
        <v/>
      </c>
      <c r="AW6" s="9">
        <f>U6*1</f>
        <v/>
      </c>
      <c r="AX6" s="9">
        <f>IF(OR(B6="neutral",B6="na",B6="n/a",B6=""),0,AD6*AN6)</f>
        <v/>
      </c>
      <c r="AY6" s="9">
        <f>IF(OR(C6="neutral",C6="na",C6="n/a",C6=""),0,AE6*AO6)</f>
        <v/>
      </c>
      <c r="AZ6" s="9">
        <f>IF(OR(D6="neutral",D6="na",D6="n/a",D6=""),0,AF6*AP6)</f>
        <v/>
      </c>
      <c r="BA6" s="9">
        <f>IF(OR(E6="neutral",E6="na",E6="n/a",E6=""),0,AG6*AQ6)</f>
        <v/>
      </c>
      <c r="BB6" s="9">
        <f>IF(OR(F6="neutral",F6="na",F6="n/a",F6=""),0,AH6*AR6)</f>
        <v/>
      </c>
      <c r="BC6" s="9">
        <f>IF(OR(G6="neutral",G6="na",G6="n/a",G6=""),0,AI6*AS6)</f>
        <v/>
      </c>
      <c r="BD6" s="9">
        <f>IF(OR(H6="neutral",H6="na",H6="n/a",H6=""),0,AJ6*AT6)</f>
        <v/>
      </c>
      <c r="BE6" s="9">
        <f>IF(OR(I6="neutral",I6="na",I6="n/a",I6=""),0,AK6*AU6)</f>
        <v/>
      </c>
      <c r="BF6" s="9">
        <f>IF(OR(J6="neutral",J6="na",J6="n/a",J6=""),0,AL6*AV6)</f>
        <v/>
      </c>
      <c r="BG6" s="9">
        <f>IF(OR(K6="neutral",K6="na",K6="n/a",K6=""),0,AM6*AW6)</f>
        <v/>
      </c>
      <c r="BH6" s="9">
        <f>IF(OR(B6="neutral",B6="na",B6="n/a",B6=""),0,AN6)+IF(OR(C6="neutral",C6="na",C6="n/a",C6=""),0,AO6)+IF(OR(D6="neutral",D6="na",D6="n/a",D6=""),0,AP6)+IF(OR(E6="neutral",E6="na",E6="n/a",E6=""),0,AQ6)+IF(OR(F6="neutral",F6="na",F6="n/a",F6=""),0,AR6)+IF(OR(G6="neutral",G6="na",G6="n/a",G6=""),0,AS6)+IF(OR(H6="neutral",H6="na",H6="n/a",H6=""),0,AT6)+IF(OR(I6="neutral",I6="na",I6="n/a",I6=""),0,AU6)+IF(OR(J6="neutral",J6="na",J6="n/a",J6=""),0,AV6)+IF(OR(K6="neutral",K6="na",K6="n/a",K6=""),0,AW6)</f>
        <v/>
      </c>
      <c r="BI6" s="9">
        <f>SUM(AX6:BG6)</f>
        <v/>
      </c>
      <c r="BJ6" s="10">
        <f>IF(BH6=0,"?",BI6/BH6)</f>
        <v/>
      </c>
      <c r="BK6" s="9">
        <f>IF(AA6=TRUE,30,0)+IF(AB6=TRUE,25,0)+IF(AC6=TRUE,30,0)</f>
        <v/>
      </c>
      <c r="BL6" s="11">
        <f>IF(BJ6="?","?",MAX(0,MIN(100,ROUND(BJ6-BK6,0))))</f>
        <v/>
      </c>
      <c r="BM6" s="12">
        <f>IF(BL6="?","?",IF(BL6&gt;=75,"A",IF(BL6&gt;=62,"B",IF(BL6&gt;=48,"C",IF(BL6&gt;=35,"D","F")))))</f>
        <v/>
      </c>
    </row>
    <row r="7">
      <c r="A7" s="7" t="inlineStr">
        <is>
          <t>(empty row 1)</t>
        </is>
      </c>
      <c r="B7" s="8" t="inlineStr">
        <is>
          <t>neutral</t>
        </is>
      </c>
      <c r="C7" s="8" t="inlineStr">
        <is>
          <t>neutral</t>
        </is>
      </c>
      <c r="D7" s="8" t="inlineStr">
        <is>
          <t>neutral</t>
        </is>
      </c>
      <c r="E7" s="8" t="inlineStr">
        <is>
          <t>neutral</t>
        </is>
      </c>
      <c r="F7" s="8" t="inlineStr">
        <is>
          <t>neutral</t>
        </is>
      </c>
      <c r="G7" s="8" t="inlineStr">
        <is>
          <t>neutral</t>
        </is>
      </c>
      <c r="H7" s="8" t="inlineStr">
        <is>
          <t>neutral</t>
        </is>
      </c>
      <c r="I7" s="8" t="inlineStr">
        <is>
          <t>neutral</t>
        </is>
      </c>
      <c r="J7" s="8" t="inlineStr">
        <is>
          <t>neutral</t>
        </is>
      </c>
      <c r="K7" s="8" t="inlineStr">
        <is>
          <t>neutral</t>
        </is>
      </c>
      <c r="L7" s="8" t="n">
        <v>3</v>
      </c>
      <c r="M7" s="8" t="n">
        <v>2</v>
      </c>
      <c r="N7" s="8" t="n">
        <v>3</v>
      </c>
      <c r="O7" s="8" t="n">
        <v>3</v>
      </c>
      <c r="P7" s="8" t="n">
        <v>3</v>
      </c>
      <c r="Q7" s="8" t="n">
        <v>2</v>
      </c>
      <c r="R7" s="8" t="n">
        <v>2</v>
      </c>
      <c r="S7" s="8" t="n">
        <v>2</v>
      </c>
      <c r="T7" s="8" t="n">
        <v>2</v>
      </c>
      <c r="U7" s="8" t="n">
        <v>2</v>
      </c>
      <c r="V7" s="8" t="inlineStr">
        <is>
          <t>neutral</t>
        </is>
      </c>
      <c r="W7" s="8" t="inlineStr">
        <is>
          <t>neutral</t>
        </is>
      </c>
      <c r="X7" s="8" t="inlineStr">
        <is>
          <t>neutral</t>
        </is>
      </c>
      <c r="Y7" s="8" t="inlineStr">
        <is>
          <t>neutral</t>
        </is>
      </c>
      <c r="Z7" s="8" t="inlineStr">
        <is>
          <t>neutral</t>
        </is>
      </c>
      <c r="AA7" s="8" t="b">
        <v>0</v>
      </c>
      <c r="AB7" s="8" t="b">
        <v>0</v>
      </c>
      <c r="AC7" s="8" t="b">
        <v>0</v>
      </c>
      <c r="AD7" s="9">
        <f>IFERROR(INDEX(scoreCat!$D$2:$D$99,MATCH("political|"&amp;B7&amp;"|"&amp;V7,scoreCat!$F$2:$F$99,0)),50)</f>
        <v/>
      </c>
      <c r="AE7" s="9">
        <f>IFERROR(INDEX(scoreCat!$D$2:$D$99,MATCH("charity|"&amp;C7&amp;"|any",scoreCat!$F$2:$F$99,0)),50)</f>
        <v/>
      </c>
      <c r="AF7" s="9">
        <f>IFERROR(INDEX(scoreCat!$D$2:$D$99,MATCH("environment|"&amp;D7&amp;"|any",scoreCat!$F$2:$F$99,0)),50)</f>
        <v/>
      </c>
      <c r="AG7" s="9">
        <f>IFERROR(INDEX(scoreCat!$D$2:$D$99,MATCH("labor|"&amp;E7&amp;"|"&amp;Z7,scoreCat!$F$2:$F$99,0)),50)</f>
        <v/>
      </c>
      <c r="AH7" s="9">
        <f>IFERROR(INDEX(scoreCat!$D$2:$D$99,MATCH("dei|"&amp;F7&amp;"|"&amp;W7,scoreCat!$F$2:$F$99,0)),50)</f>
        <v/>
      </c>
      <c r="AI7" s="9">
        <f>IFERROR(INDEX(scoreCat!$D$2:$D$99,MATCH("animals|"&amp;G7&amp;"|"&amp;X7,scoreCat!$F$2:$F$99,0)),50)</f>
        <v/>
      </c>
      <c r="AJ7" s="9">
        <f>IFERROR(INDEX(scoreCat!$D$2:$D$99,MATCH("guns|"&amp;H7&amp;"|"&amp;Y7,scoreCat!$F$2:$F$99,0)),50)</f>
        <v/>
      </c>
      <c r="AK7" s="9">
        <f>IFERROR(INDEX(scoreCat!$D$2:$D$99,MATCH("privacy|"&amp;I7&amp;"|any",scoreCat!$F$2:$F$99,0)),50)</f>
        <v/>
      </c>
      <c r="AL7" s="9">
        <f>IFERROR(INDEX(scoreCat!$D$2:$D$99,MATCH("execPay|"&amp;J7&amp;"|any",scoreCat!$F$2:$F$99,0)),50)</f>
        <v/>
      </c>
      <c r="AM7" s="9">
        <f>IFERROR(INDEX(scoreCat!$D$2:$D$99,MATCH("health|"&amp;K7&amp;"|any",scoreCat!$F$2:$F$99,0)),50)</f>
        <v/>
      </c>
      <c r="AN7" s="9">
        <f>L7*IF(AND(V7&lt;&gt;"neutral",V7&lt;&gt;""),2,1)</f>
        <v/>
      </c>
      <c r="AO7" s="9">
        <f>M7*1</f>
        <v/>
      </c>
      <c r="AP7" s="9">
        <f>N7*1</f>
        <v/>
      </c>
      <c r="AQ7" s="9">
        <f>O7*IF(AND(Z7&lt;&gt;"neutral",Z7&lt;&gt;""),2,1)</f>
        <v/>
      </c>
      <c r="AR7" s="9">
        <f>P7*IF(AND(W7&lt;&gt;"neutral",W7&lt;&gt;""),2,1)</f>
        <v/>
      </c>
      <c r="AS7" s="9">
        <f>Q7*IF(AND(X7&lt;&gt;"neutral",X7&lt;&gt;""),2,1)</f>
        <v/>
      </c>
      <c r="AT7" s="9">
        <f>R7*IF(AND(Y7&lt;&gt;"neutral",Y7&lt;&gt;""),4,1)</f>
        <v/>
      </c>
      <c r="AU7" s="9">
        <f>S7*1</f>
        <v/>
      </c>
      <c r="AV7" s="9">
        <f>T7*1</f>
        <v/>
      </c>
      <c r="AW7" s="9">
        <f>U7*1</f>
        <v/>
      </c>
      <c r="AX7" s="9">
        <f>IF(OR(B7="neutral",B7="na",B7="n/a",B7=""),0,AD7*AN7)</f>
        <v/>
      </c>
      <c r="AY7" s="9">
        <f>IF(OR(C7="neutral",C7="na",C7="n/a",C7=""),0,AE7*AO7)</f>
        <v/>
      </c>
      <c r="AZ7" s="9">
        <f>IF(OR(D7="neutral",D7="na",D7="n/a",D7=""),0,AF7*AP7)</f>
        <v/>
      </c>
      <c r="BA7" s="9">
        <f>IF(OR(E7="neutral",E7="na",E7="n/a",E7=""),0,AG7*AQ7)</f>
        <v/>
      </c>
      <c r="BB7" s="9">
        <f>IF(OR(F7="neutral",F7="na",F7="n/a",F7=""),0,AH7*AR7)</f>
        <v/>
      </c>
      <c r="BC7" s="9">
        <f>IF(OR(G7="neutral",G7="na",G7="n/a",G7=""),0,AI7*AS7)</f>
        <v/>
      </c>
      <c r="BD7" s="9">
        <f>IF(OR(H7="neutral",H7="na",H7="n/a",H7=""),0,AJ7*AT7)</f>
        <v/>
      </c>
      <c r="BE7" s="9">
        <f>IF(OR(I7="neutral",I7="na",I7="n/a",I7=""),0,AK7*AU7)</f>
        <v/>
      </c>
      <c r="BF7" s="9">
        <f>IF(OR(J7="neutral",J7="na",J7="n/a",J7=""),0,AL7*AV7)</f>
        <v/>
      </c>
      <c r="BG7" s="9">
        <f>IF(OR(K7="neutral",K7="na",K7="n/a",K7=""),0,AM7*AW7)</f>
        <v/>
      </c>
      <c r="BH7" s="9">
        <f>IF(OR(B7="neutral",B7="na",B7="n/a",B7=""),0,AN7)+IF(OR(C7="neutral",C7="na",C7="n/a",C7=""),0,AO7)+IF(OR(D7="neutral",D7="na",D7="n/a",D7=""),0,AP7)+IF(OR(E7="neutral",E7="na",E7="n/a",E7=""),0,AQ7)+IF(OR(F7="neutral",F7="na",F7="n/a",F7=""),0,AR7)+IF(OR(G7="neutral",G7="na",G7="n/a",G7=""),0,AS7)+IF(OR(H7="neutral",H7="na",H7="n/a",H7=""),0,AT7)+IF(OR(I7="neutral",I7="na",I7="n/a",I7=""),0,AU7)+IF(OR(J7="neutral",J7="na",J7="n/a",J7=""),0,AV7)+IF(OR(K7="neutral",K7="na",K7="n/a",K7=""),0,AW7)</f>
        <v/>
      </c>
      <c r="BI7" s="9">
        <f>SUM(AX7:BG7)</f>
        <v/>
      </c>
      <c r="BJ7" s="10">
        <f>IF(BH7=0,"?",BI7/BH7)</f>
        <v/>
      </c>
      <c r="BK7" s="9">
        <f>IF(AA7=TRUE,30,0)+IF(AB7=TRUE,25,0)+IF(AC7=TRUE,30,0)</f>
        <v/>
      </c>
      <c r="BL7" s="11">
        <f>IF(BJ7="?","?",MAX(0,MIN(100,ROUND(BJ7-BK7,0))))</f>
        <v/>
      </c>
      <c r="BM7" s="12">
        <f>IF(BL7="?","?",IF(BL7&gt;=75,"A",IF(BL7&gt;=62,"B",IF(BL7&gt;=48,"C",IF(BL7&gt;=35,"D","F")))))</f>
        <v/>
      </c>
    </row>
    <row r="8">
      <c r="A8" s="7" t="inlineStr">
        <is>
          <t>(empty row 2)</t>
        </is>
      </c>
      <c r="B8" s="8" t="inlineStr">
        <is>
          <t>neutral</t>
        </is>
      </c>
      <c r="C8" s="8" t="inlineStr">
        <is>
          <t>neutral</t>
        </is>
      </c>
      <c r="D8" s="8" t="inlineStr">
        <is>
          <t>neutral</t>
        </is>
      </c>
      <c r="E8" s="8" t="inlineStr">
        <is>
          <t>neutral</t>
        </is>
      </c>
      <c r="F8" s="8" t="inlineStr">
        <is>
          <t>neutral</t>
        </is>
      </c>
      <c r="G8" s="8" t="inlineStr">
        <is>
          <t>neutral</t>
        </is>
      </c>
      <c r="H8" s="8" t="inlineStr">
        <is>
          <t>neutral</t>
        </is>
      </c>
      <c r="I8" s="8" t="inlineStr">
        <is>
          <t>neutral</t>
        </is>
      </c>
      <c r="J8" s="8" t="inlineStr">
        <is>
          <t>neutral</t>
        </is>
      </c>
      <c r="K8" s="8" t="inlineStr">
        <is>
          <t>neutral</t>
        </is>
      </c>
      <c r="L8" s="8" t="n">
        <v>3</v>
      </c>
      <c r="M8" s="8" t="n">
        <v>2</v>
      </c>
      <c r="N8" s="8" t="n">
        <v>3</v>
      </c>
      <c r="O8" s="8" t="n">
        <v>3</v>
      </c>
      <c r="P8" s="8" t="n">
        <v>3</v>
      </c>
      <c r="Q8" s="8" t="n">
        <v>2</v>
      </c>
      <c r="R8" s="8" t="n">
        <v>2</v>
      </c>
      <c r="S8" s="8" t="n">
        <v>2</v>
      </c>
      <c r="T8" s="8" t="n">
        <v>2</v>
      </c>
      <c r="U8" s="8" t="n">
        <v>2</v>
      </c>
      <c r="V8" s="8" t="inlineStr">
        <is>
          <t>neutral</t>
        </is>
      </c>
      <c r="W8" s="8" t="inlineStr">
        <is>
          <t>neutral</t>
        </is>
      </c>
      <c r="X8" s="8" t="inlineStr">
        <is>
          <t>neutral</t>
        </is>
      </c>
      <c r="Y8" s="8" t="inlineStr">
        <is>
          <t>neutral</t>
        </is>
      </c>
      <c r="Z8" s="8" t="inlineStr">
        <is>
          <t>neutral</t>
        </is>
      </c>
      <c r="AA8" s="8" t="b">
        <v>0</v>
      </c>
      <c r="AB8" s="8" t="b">
        <v>0</v>
      </c>
      <c r="AC8" s="8" t="b">
        <v>0</v>
      </c>
      <c r="AD8" s="9">
        <f>IFERROR(INDEX(scoreCat!$D$2:$D$99,MATCH("political|"&amp;B8&amp;"|"&amp;V8,scoreCat!$F$2:$F$99,0)),50)</f>
        <v/>
      </c>
      <c r="AE8" s="9">
        <f>IFERROR(INDEX(scoreCat!$D$2:$D$99,MATCH("charity|"&amp;C8&amp;"|any",scoreCat!$F$2:$F$99,0)),50)</f>
        <v/>
      </c>
      <c r="AF8" s="9">
        <f>IFERROR(INDEX(scoreCat!$D$2:$D$99,MATCH("environment|"&amp;D8&amp;"|any",scoreCat!$F$2:$F$99,0)),50)</f>
        <v/>
      </c>
      <c r="AG8" s="9">
        <f>IFERROR(INDEX(scoreCat!$D$2:$D$99,MATCH("labor|"&amp;E8&amp;"|"&amp;Z8,scoreCat!$F$2:$F$99,0)),50)</f>
        <v/>
      </c>
      <c r="AH8" s="9">
        <f>IFERROR(INDEX(scoreCat!$D$2:$D$99,MATCH("dei|"&amp;F8&amp;"|"&amp;W8,scoreCat!$F$2:$F$99,0)),50)</f>
        <v/>
      </c>
      <c r="AI8" s="9">
        <f>IFERROR(INDEX(scoreCat!$D$2:$D$99,MATCH("animals|"&amp;G8&amp;"|"&amp;X8,scoreCat!$F$2:$F$99,0)),50)</f>
        <v/>
      </c>
      <c r="AJ8" s="9">
        <f>IFERROR(INDEX(scoreCat!$D$2:$D$99,MATCH("guns|"&amp;H8&amp;"|"&amp;Y8,scoreCat!$F$2:$F$99,0)),50)</f>
        <v/>
      </c>
      <c r="AK8" s="9">
        <f>IFERROR(INDEX(scoreCat!$D$2:$D$99,MATCH("privacy|"&amp;I8&amp;"|any",scoreCat!$F$2:$F$99,0)),50)</f>
        <v/>
      </c>
      <c r="AL8" s="9">
        <f>IFERROR(INDEX(scoreCat!$D$2:$D$99,MATCH("execPay|"&amp;J8&amp;"|any",scoreCat!$F$2:$F$99,0)),50)</f>
        <v/>
      </c>
      <c r="AM8" s="9">
        <f>IFERROR(INDEX(scoreCat!$D$2:$D$99,MATCH("health|"&amp;K8&amp;"|any",scoreCat!$F$2:$F$99,0)),50)</f>
        <v/>
      </c>
      <c r="AN8" s="9">
        <f>L8*IF(AND(V8&lt;&gt;"neutral",V8&lt;&gt;""),2,1)</f>
        <v/>
      </c>
      <c r="AO8" s="9">
        <f>M8*1</f>
        <v/>
      </c>
      <c r="AP8" s="9">
        <f>N8*1</f>
        <v/>
      </c>
      <c r="AQ8" s="9">
        <f>O8*IF(AND(Z8&lt;&gt;"neutral",Z8&lt;&gt;""),2,1)</f>
        <v/>
      </c>
      <c r="AR8" s="9">
        <f>P8*IF(AND(W8&lt;&gt;"neutral",W8&lt;&gt;""),2,1)</f>
        <v/>
      </c>
      <c r="AS8" s="9">
        <f>Q8*IF(AND(X8&lt;&gt;"neutral",X8&lt;&gt;""),2,1)</f>
        <v/>
      </c>
      <c r="AT8" s="9">
        <f>R8*IF(AND(Y8&lt;&gt;"neutral",Y8&lt;&gt;""),4,1)</f>
        <v/>
      </c>
      <c r="AU8" s="9">
        <f>S8*1</f>
        <v/>
      </c>
      <c r="AV8" s="9">
        <f>T8*1</f>
        <v/>
      </c>
      <c r="AW8" s="9">
        <f>U8*1</f>
        <v/>
      </c>
      <c r="AX8" s="9">
        <f>IF(OR(B8="neutral",B8="na",B8="n/a",B8=""),0,AD8*AN8)</f>
        <v/>
      </c>
      <c r="AY8" s="9">
        <f>IF(OR(C8="neutral",C8="na",C8="n/a",C8=""),0,AE8*AO8)</f>
        <v/>
      </c>
      <c r="AZ8" s="9">
        <f>IF(OR(D8="neutral",D8="na",D8="n/a",D8=""),0,AF8*AP8)</f>
        <v/>
      </c>
      <c r="BA8" s="9">
        <f>IF(OR(E8="neutral",E8="na",E8="n/a",E8=""),0,AG8*AQ8)</f>
        <v/>
      </c>
      <c r="BB8" s="9">
        <f>IF(OR(F8="neutral",F8="na",F8="n/a",F8=""),0,AH8*AR8)</f>
        <v/>
      </c>
      <c r="BC8" s="9">
        <f>IF(OR(G8="neutral",G8="na",G8="n/a",G8=""),0,AI8*AS8)</f>
        <v/>
      </c>
      <c r="BD8" s="9">
        <f>IF(OR(H8="neutral",H8="na",H8="n/a",H8=""),0,AJ8*AT8)</f>
        <v/>
      </c>
      <c r="BE8" s="9">
        <f>IF(OR(I8="neutral",I8="na",I8="n/a",I8=""),0,AK8*AU8)</f>
        <v/>
      </c>
      <c r="BF8" s="9">
        <f>IF(OR(J8="neutral",J8="na",J8="n/a",J8=""),0,AL8*AV8)</f>
        <v/>
      </c>
      <c r="BG8" s="9">
        <f>IF(OR(K8="neutral",K8="na",K8="n/a",K8=""),0,AM8*AW8)</f>
        <v/>
      </c>
      <c r="BH8" s="9">
        <f>IF(OR(B8="neutral",B8="na",B8="n/a",B8=""),0,AN8)+IF(OR(C8="neutral",C8="na",C8="n/a",C8=""),0,AO8)+IF(OR(D8="neutral",D8="na",D8="n/a",D8=""),0,AP8)+IF(OR(E8="neutral",E8="na",E8="n/a",E8=""),0,AQ8)+IF(OR(F8="neutral",F8="na",F8="n/a",F8=""),0,AR8)+IF(OR(G8="neutral",G8="na",G8="n/a",G8=""),0,AS8)+IF(OR(H8="neutral",H8="na",H8="n/a",H8=""),0,AT8)+IF(OR(I8="neutral",I8="na",I8="n/a",I8=""),0,AU8)+IF(OR(J8="neutral",J8="na",J8="n/a",J8=""),0,AV8)+IF(OR(K8="neutral",K8="na",K8="n/a",K8=""),0,AW8)</f>
        <v/>
      </c>
      <c r="BI8" s="9">
        <f>SUM(AX8:BG8)</f>
        <v/>
      </c>
      <c r="BJ8" s="10">
        <f>IF(BH8=0,"?",BI8/BH8)</f>
        <v/>
      </c>
      <c r="BK8" s="9">
        <f>IF(AA8=TRUE,30,0)+IF(AB8=TRUE,25,0)+IF(AC8=TRUE,30,0)</f>
        <v/>
      </c>
      <c r="BL8" s="11">
        <f>IF(BJ8="?","?",MAX(0,MIN(100,ROUND(BJ8-BK8,0))))</f>
        <v/>
      </c>
      <c r="BM8" s="12">
        <f>IF(BL8="?","?",IF(BL8&gt;=75,"A",IF(BL8&gt;=62,"B",IF(BL8&gt;=48,"C",IF(BL8&gt;=35,"D","F")))))</f>
        <v/>
      </c>
    </row>
    <row r="9">
      <c r="A9" s="7" t="inlineStr">
        <is>
          <t>(empty row 3)</t>
        </is>
      </c>
      <c r="B9" s="8" t="inlineStr">
        <is>
          <t>neutral</t>
        </is>
      </c>
      <c r="C9" s="8" t="inlineStr">
        <is>
          <t>neutral</t>
        </is>
      </c>
      <c r="D9" s="8" t="inlineStr">
        <is>
          <t>neutral</t>
        </is>
      </c>
      <c r="E9" s="8" t="inlineStr">
        <is>
          <t>neutral</t>
        </is>
      </c>
      <c r="F9" s="8" t="inlineStr">
        <is>
          <t>neutral</t>
        </is>
      </c>
      <c r="G9" s="8" t="inlineStr">
        <is>
          <t>neutral</t>
        </is>
      </c>
      <c r="H9" s="8" t="inlineStr">
        <is>
          <t>neutral</t>
        </is>
      </c>
      <c r="I9" s="8" t="inlineStr">
        <is>
          <t>neutral</t>
        </is>
      </c>
      <c r="J9" s="8" t="inlineStr">
        <is>
          <t>neutral</t>
        </is>
      </c>
      <c r="K9" s="8" t="inlineStr">
        <is>
          <t>neutral</t>
        </is>
      </c>
      <c r="L9" s="8" t="n">
        <v>3</v>
      </c>
      <c r="M9" s="8" t="n">
        <v>2</v>
      </c>
      <c r="N9" s="8" t="n">
        <v>3</v>
      </c>
      <c r="O9" s="8" t="n">
        <v>3</v>
      </c>
      <c r="P9" s="8" t="n">
        <v>3</v>
      </c>
      <c r="Q9" s="8" t="n">
        <v>2</v>
      </c>
      <c r="R9" s="8" t="n">
        <v>2</v>
      </c>
      <c r="S9" s="8" t="n">
        <v>2</v>
      </c>
      <c r="T9" s="8" t="n">
        <v>2</v>
      </c>
      <c r="U9" s="8" t="n">
        <v>2</v>
      </c>
      <c r="V9" s="8" t="inlineStr">
        <is>
          <t>neutral</t>
        </is>
      </c>
      <c r="W9" s="8" t="inlineStr">
        <is>
          <t>neutral</t>
        </is>
      </c>
      <c r="X9" s="8" t="inlineStr">
        <is>
          <t>neutral</t>
        </is>
      </c>
      <c r="Y9" s="8" t="inlineStr">
        <is>
          <t>neutral</t>
        </is>
      </c>
      <c r="Z9" s="8" t="inlineStr">
        <is>
          <t>neutral</t>
        </is>
      </c>
      <c r="AA9" s="8" t="b">
        <v>0</v>
      </c>
      <c r="AB9" s="8" t="b">
        <v>0</v>
      </c>
      <c r="AC9" s="8" t="b">
        <v>0</v>
      </c>
      <c r="AD9" s="9">
        <f>IFERROR(INDEX(scoreCat!$D$2:$D$99,MATCH("political|"&amp;B9&amp;"|"&amp;V9,scoreCat!$F$2:$F$99,0)),50)</f>
        <v/>
      </c>
      <c r="AE9" s="9">
        <f>IFERROR(INDEX(scoreCat!$D$2:$D$99,MATCH("charity|"&amp;C9&amp;"|any",scoreCat!$F$2:$F$99,0)),50)</f>
        <v/>
      </c>
      <c r="AF9" s="9">
        <f>IFERROR(INDEX(scoreCat!$D$2:$D$99,MATCH("environment|"&amp;D9&amp;"|any",scoreCat!$F$2:$F$99,0)),50)</f>
        <v/>
      </c>
      <c r="AG9" s="9">
        <f>IFERROR(INDEX(scoreCat!$D$2:$D$99,MATCH("labor|"&amp;E9&amp;"|"&amp;Z9,scoreCat!$F$2:$F$99,0)),50)</f>
        <v/>
      </c>
      <c r="AH9" s="9">
        <f>IFERROR(INDEX(scoreCat!$D$2:$D$99,MATCH("dei|"&amp;F9&amp;"|"&amp;W9,scoreCat!$F$2:$F$99,0)),50)</f>
        <v/>
      </c>
      <c r="AI9" s="9">
        <f>IFERROR(INDEX(scoreCat!$D$2:$D$99,MATCH("animals|"&amp;G9&amp;"|"&amp;X9,scoreCat!$F$2:$F$99,0)),50)</f>
        <v/>
      </c>
      <c r="AJ9" s="9">
        <f>IFERROR(INDEX(scoreCat!$D$2:$D$99,MATCH("guns|"&amp;H9&amp;"|"&amp;Y9,scoreCat!$F$2:$F$99,0)),50)</f>
        <v/>
      </c>
      <c r="AK9" s="9">
        <f>IFERROR(INDEX(scoreCat!$D$2:$D$99,MATCH("privacy|"&amp;I9&amp;"|any",scoreCat!$F$2:$F$99,0)),50)</f>
        <v/>
      </c>
      <c r="AL9" s="9">
        <f>IFERROR(INDEX(scoreCat!$D$2:$D$99,MATCH("execPay|"&amp;J9&amp;"|any",scoreCat!$F$2:$F$99,0)),50)</f>
        <v/>
      </c>
      <c r="AM9" s="9">
        <f>IFERROR(INDEX(scoreCat!$D$2:$D$99,MATCH("health|"&amp;K9&amp;"|any",scoreCat!$F$2:$F$99,0)),50)</f>
        <v/>
      </c>
      <c r="AN9" s="9">
        <f>L9*IF(AND(V9&lt;&gt;"neutral",V9&lt;&gt;""),2,1)</f>
        <v/>
      </c>
      <c r="AO9" s="9">
        <f>M9*1</f>
        <v/>
      </c>
      <c r="AP9" s="9">
        <f>N9*1</f>
        <v/>
      </c>
      <c r="AQ9" s="9">
        <f>O9*IF(AND(Z9&lt;&gt;"neutral",Z9&lt;&gt;""),2,1)</f>
        <v/>
      </c>
      <c r="AR9" s="9">
        <f>P9*IF(AND(W9&lt;&gt;"neutral",W9&lt;&gt;""),2,1)</f>
        <v/>
      </c>
      <c r="AS9" s="9">
        <f>Q9*IF(AND(X9&lt;&gt;"neutral",X9&lt;&gt;""),2,1)</f>
        <v/>
      </c>
      <c r="AT9" s="9">
        <f>R9*IF(AND(Y9&lt;&gt;"neutral",Y9&lt;&gt;""),4,1)</f>
        <v/>
      </c>
      <c r="AU9" s="9">
        <f>S9*1</f>
        <v/>
      </c>
      <c r="AV9" s="9">
        <f>T9*1</f>
        <v/>
      </c>
      <c r="AW9" s="9">
        <f>U9*1</f>
        <v/>
      </c>
      <c r="AX9" s="9">
        <f>IF(OR(B9="neutral",B9="na",B9="n/a",B9=""),0,AD9*AN9)</f>
        <v/>
      </c>
      <c r="AY9" s="9">
        <f>IF(OR(C9="neutral",C9="na",C9="n/a",C9=""),0,AE9*AO9)</f>
        <v/>
      </c>
      <c r="AZ9" s="9">
        <f>IF(OR(D9="neutral",D9="na",D9="n/a",D9=""),0,AF9*AP9)</f>
        <v/>
      </c>
      <c r="BA9" s="9">
        <f>IF(OR(E9="neutral",E9="na",E9="n/a",E9=""),0,AG9*AQ9)</f>
        <v/>
      </c>
      <c r="BB9" s="9">
        <f>IF(OR(F9="neutral",F9="na",F9="n/a",F9=""),0,AH9*AR9)</f>
        <v/>
      </c>
      <c r="BC9" s="9">
        <f>IF(OR(G9="neutral",G9="na",G9="n/a",G9=""),0,AI9*AS9)</f>
        <v/>
      </c>
      <c r="BD9" s="9">
        <f>IF(OR(H9="neutral",H9="na",H9="n/a",H9=""),0,AJ9*AT9)</f>
        <v/>
      </c>
      <c r="BE9" s="9">
        <f>IF(OR(I9="neutral",I9="na",I9="n/a",I9=""),0,AK9*AU9)</f>
        <v/>
      </c>
      <c r="BF9" s="9">
        <f>IF(OR(J9="neutral",J9="na",J9="n/a",J9=""),0,AL9*AV9)</f>
        <v/>
      </c>
      <c r="BG9" s="9">
        <f>IF(OR(K9="neutral",K9="na",K9="n/a",K9=""),0,AM9*AW9)</f>
        <v/>
      </c>
      <c r="BH9" s="9">
        <f>IF(OR(B9="neutral",B9="na",B9="n/a",B9=""),0,AN9)+IF(OR(C9="neutral",C9="na",C9="n/a",C9=""),0,AO9)+IF(OR(D9="neutral",D9="na",D9="n/a",D9=""),0,AP9)+IF(OR(E9="neutral",E9="na",E9="n/a",E9=""),0,AQ9)+IF(OR(F9="neutral",F9="na",F9="n/a",F9=""),0,AR9)+IF(OR(G9="neutral",G9="na",G9="n/a",G9=""),0,AS9)+IF(OR(H9="neutral",H9="na",H9="n/a",H9=""),0,AT9)+IF(OR(I9="neutral",I9="na",I9="n/a",I9=""),0,AU9)+IF(OR(J9="neutral",J9="na",J9="n/a",J9=""),0,AV9)+IF(OR(K9="neutral",K9="na",K9="n/a",K9=""),0,AW9)</f>
        <v/>
      </c>
      <c r="BI9" s="9">
        <f>SUM(AX9:BG9)</f>
        <v/>
      </c>
      <c r="BJ9" s="10">
        <f>IF(BH9=0,"?",BI9/BH9)</f>
        <v/>
      </c>
      <c r="BK9" s="9">
        <f>IF(AA9=TRUE,30,0)+IF(AB9=TRUE,25,0)+IF(AC9=TRUE,30,0)</f>
        <v/>
      </c>
      <c r="BL9" s="11">
        <f>IF(BJ9="?","?",MAX(0,MIN(100,ROUND(BJ9-BK9,0))))</f>
        <v/>
      </c>
      <c r="BM9" s="12">
        <f>IF(BL9="?","?",IF(BL9&gt;=75,"A",IF(BL9&gt;=62,"B",IF(BL9&gt;=48,"C",IF(BL9&gt;=35,"D","F")))))</f>
        <v/>
      </c>
    </row>
    <row r="10">
      <c r="A10" s="7" t="inlineStr">
        <is>
          <t>(empty row 4)</t>
        </is>
      </c>
      <c r="B10" s="8" t="inlineStr">
        <is>
          <t>neutral</t>
        </is>
      </c>
      <c r="C10" s="8" t="inlineStr">
        <is>
          <t>neutral</t>
        </is>
      </c>
      <c r="D10" s="8" t="inlineStr">
        <is>
          <t>neutral</t>
        </is>
      </c>
      <c r="E10" s="8" t="inlineStr">
        <is>
          <t>neutral</t>
        </is>
      </c>
      <c r="F10" s="8" t="inlineStr">
        <is>
          <t>neutral</t>
        </is>
      </c>
      <c r="G10" s="8" t="inlineStr">
        <is>
          <t>neutral</t>
        </is>
      </c>
      <c r="H10" s="8" t="inlineStr">
        <is>
          <t>neutral</t>
        </is>
      </c>
      <c r="I10" s="8" t="inlineStr">
        <is>
          <t>neutral</t>
        </is>
      </c>
      <c r="J10" s="8" t="inlineStr">
        <is>
          <t>neutral</t>
        </is>
      </c>
      <c r="K10" s="8" t="inlineStr">
        <is>
          <t>neutral</t>
        </is>
      </c>
      <c r="L10" s="8" t="n">
        <v>3</v>
      </c>
      <c r="M10" s="8" t="n">
        <v>2</v>
      </c>
      <c r="N10" s="8" t="n">
        <v>3</v>
      </c>
      <c r="O10" s="8" t="n">
        <v>3</v>
      </c>
      <c r="P10" s="8" t="n">
        <v>3</v>
      </c>
      <c r="Q10" s="8" t="n">
        <v>2</v>
      </c>
      <c r="R10" s="8" t="n">
        <v>2</v>
      </c>
      <c r="S10" s="8" t="n">
        <v>2</v>
      </c>
      <c r="T10" s="8" t="n">
        <v>2</v>
      </c>
      <c r="U10" s="8" t="n">
        <v>2</v>
      </c>
      <c r="V10" s="8" t="inlineStr">
        <is>
          <t>neutral</t>
        </is>
      </c>
      <c r="W10" s="8" t="inlineStr">
        <is>
          <t>neutral</t>
        </is>
      </c>
      <c r="X10" s="8" t="inlineStr">
        <is>
          <t>neutral</t>
        </is>
      </c>
      <c r="Y10" s="8" t="inlineStr">
        <is>
          <t>neutral</t>
        </is>
      </c>
      <c r="Z10" s="8" t="inlineStr">
        <is>
          <t>neutral</t>
        </is>
      </c>
      <c r="AA10" s="8" t="b">
        <v>0</v>
      </c>
      <c r="AB10" s="8" t="b">
        <v>0</v>
      </c>
      <c r="AC10" s="8" t="b">
        <v>0</v>
      </c>
      <c r="AD10" s="9">
        <f>IFERROR(INDEX(scoreCat!$D$2:$D$99,MATCH("political|"&amp;B10&amp;"|"&amp;V10,scoreCat!$F$2:$F$99,0)),50)</f>
        <v/>
      </c>
      <c r="AE10" s="9">
        <f>IFERROR(INDEX(scoreCat!$D$2:$D$99,MATCH("charity|"&amp;C10&amp;"|any",scoreCat!$F$2:$F$99,0)),50)</f>
        <v/>
      </c>
      <c r="AF10" s="9">
        <f>IFERROR(INDEX(scoreCat!$D$2:$D$99,MATCH("environment|"&amp;D10&amp;"|any",scoreCat!$F$2:$F$99,0)),50)</f>
        <v/>
      </c>
      <c r="AG10" s="9">
        <f>IFERROR(INDEX(scoreCat!$D$2:$D$99,MATCH("labor|"&amp;E10&amp;"|"&amp;Z10,scoreCat!$F$2:$F$99,0)),50)</f>
        <v/>
      </c>
      <c r="AH10" s="9">
        <f>IFERROR(INDEX(scoreCat!$D$2:$D$99,MATCH("dei|"&amp;F10&amp;"|"&amp;W10,scoreCat!$F$2:$F$99,0)),50)</f>
        <v/>
      </c>
      <c r="AI10" s="9">
        <f>IFERROR(INDEX(scoreCat!$D$2:$D$99,MATCH("animals|"&amp;G10&amp;"|"&amp;X10,scoreCat!$F$2:$F$99,0)),50)</f>
        <v/>
      </c>
      <c r="AJ10" s="9">
        <f>IFERROR(INDEX(scoreCat!$D$2:$D$99,MATCH("guns|"&amp;H10&amp;"|"&amp;Y10,scoreCat!$F$2:$F$99,0)),50)</f>
        <v/>
      </c>
      <c r="AK10" s="9">
        <f>IFERROR(INDEX(scoreCat!$D$2:$D$99,MATCH("privacy|"&amp;I10&amp;"|any",scoreCat!$F$2:$F$99,0)),50)</f>
        <v/>
      </c>
      <c r="AL10" s="9">
        <f>IFERROR(INDEX(scoreCat!$D$2:$D$99,MATCH("execPay|"&amp;J10&amp;"|any",scoreCat!$F$2:$F$99,0)),50)</f>
        <v/>
      </c>
      <c r="AM10" s="9">
        <f>IFERROR(INDEX(scoreCat!$D$2:$D$99,MATCH("health|"&amp;K10&amp;"|any",scoreCat!$F$2:$F$99,0)),50)</f>
        <v/>
      </c>
      <c r="AN10" s="9">
        <f>L10*IF(AND(V10&lt;&gt;"neutral",V10&lt;&gt;""),2,1)</f>
        <v/>
      </c>
      <c r="AO10" s="9">
        <f>M10*1</f>
        <v/>
      </c>
      <c r="AP10" s="9">
        <f>N10*1</f>
        <v/>
      </c>
      <c r="AQ10" s="9">
        <f>O10*IF(AND(Z10&lt;&gt;"neutral",Z10&lt;&gt;""),2,1)</f>
        <v/>
      </c>
      <c r="AR10" s="9">
        <f>P10*IF(AND(W10&lt;&gt;"neutral",W10&lt;&gt;""),2,1)</f>
        <v/>
      </c>
      <c r="AS10" s="9">
        <f>Q10*IF(AND(X10&lt;&gt;"neutral",X10&lt;&gt;""),2,1)</f>
        <v/>
      </c>
      <c r="AT10" s="9">
        <f>R10*IF(AND(Y10&lt;&gt;"neutral",Y10&lt;&gt;""),4,1)</f>
        <v/>
      </c>
      <c r="AU10" s="9">
        <f>S10*1</f>
        <v/>
      </c>
      <c r="AV10" s="9">
        <f>T10*1</f>
        <v/>
      </c>
      <c r="AW10" s="9">
        <f>U10*1</f>
        <v/>
      </c>
      <c r="AX10" s="9">
        <f>IF(OR(B10="neutral",B10="na",B10="n/a",B10=""),0,AD10*AN10)</f>
        <v/>
      </c>
      <c r="AY10" s="9">
        <f>IF(OR(C10="neutral",C10="na",C10="n/a",C10=""),0,AE10*AO10)</f>
        <v/>
      </c>
      <c r="AZ10" s="9">
        <f>IF(OR(D10="neutral",D10="na",D10="n/a",D10=""),0,AF10*AP10)</f>
        <v/>
      </c>
      <c r="BA10" s="9">
        <f>IF(OR(E10="neutral",E10="na",E10="n/a",E10=""),0,AG10*AQ10)</f>
        <v/>
      </c>
      <c r="BB10" s="9">
        <f>IF(OR(F10="neutral",F10="na",F10="n/a",F10=""),0,AH10*AR10)</f>
        <v/>
      </c>
      <c r="BC10" s="9">
        <f>IF(OR(G10="neutral",G10="na",G10="n/a",G10=""),0,AI10*AS10)</f>
        <v/>
      </c>
      <c r="BD10" s="9">
        <f>IF(OR(H10="neutral",H10="na",H10="n/a",H10=""),0,AJ10*AT10)</f>
        <v/>
      </c>
      <c r="BE10" s="9">
        <f>IF(OR(I10="neutral",I10="na",I10="n/a",I10=""),0,AK10*AU10)</f>
        <v/>
      </c>
      <c r="BF10" s="9">
        <f>IF(OR(J10="neutral",J10="na",J10="n/a",J10=""),0,AL10*AV10)</f>
        <v/>
      </c>
      <c r="BG10" s="9">
        <f>IF(OR(K10="neutral",K10="na",K10="n/a",K10=""),0,AM10*AW10)</f>
        <v/>
      </c>
      <c r="BH10" s="9">
        <f>IF(OR(B10="neutral",B10="na",B10="n/a",B10=""),0,AN10)+IF(OR(C10="neutral",C10="na",C10="n/a",C10=""),0,AO10)+IF(OR(D10="neutral",D10="na",D10="n/a",D10=""),0,AP10)+IF(OR(E10="neutral",E10="na",E10="n/a",E10=""),0,AQ10)+IF(OR(F10="neutral",F10="na",F10="n/a",F10=""),0,AR10)+IF(OR(G10="neutral",G10="na",G10="n/a",G10=""),0,AS10)+IF(OR(H10="neutral",H10="na",H10="n/a",H10=""),0,AT10)+IF(OR(I10="neutral",I10="na",I10="n/a",I10=""),0,AU10)+IF(OR(J10="neutral",J10="na",J10="n/a",J10=""),0,AV10)+IF(OR(K10="neutral",K10="na",K10="n/a",K10=""),0,AW10)</f>
        <v/>
      </c>
      <c r="BI10" s="9">
        <f>SUM(AX10:BG10)</f>
        <v/>
      </c>
      <c r="BJ10" s="10">
        <f>IF(BH10=0,"?",BI10/BH10)</f>
        <v/>
      </c>
      <c r="BK10" s="9">
        <f>IF(AA10=TRUE,30,0)+IF(AB10=TRUE,25,0)+IF(AC10=TRUE,30,0)</f>
        <v/>
      </c>
      <c r="BL10" s="11">
        <f>IF(BJ10="?","?",MAX(0,MIN(100,ROUND(BJ10-BK10,0))))</f>
        <v/>
      </c>
      <c r="BM10" s="12">
        <f>IF(BL10="?","?",IF(BL10&gt;=75,"A",IF(BL10&gt;=62,"B",IF(BL10&gt;=48,"C",IF(BL10&gt;=35,"D","F")))))</f>
        <v/>
      </c>
    </row>
    <row r="11">
      <c r="A11" s="7" t="inlineStr">
        <is>
          <t>(empty row 5)</t>
        </is>
      </c>
      <c r="B11" s="8" t="inlineStr">
        <is>
          <t>neutral</t>
        </is>
      </c>
      <c r="C11" s="8" t="inlineStr">
        <is>
          <t>neutral</t>
        </is>
      </c>
      <c r="D11" s="8" t="inlineStr">
        <is>
          <t>neutral</t>
        </is>
      </c>
      <c r="E11" s="8" t="inlineStr">
        <is>
          <t>neutral</t>
        </is>
      </c>
      <c r="F11" s="8" t="inlineStr">
        <is>
          <t>neutral</t>
        </is>
      </c>
      <c r="G11" s="8" t="inlineStr">
        <is>
          <t>neutral</t>
        </is>
      </c>
      <c r="H11" s="8" t="inlineStr">
        <is>
          <t>neutral</t>
        </is>
      </c>
      <c r="I11" s="8" t="inlineStr">
        <is>
          <t>neutral</t>
        </is>
      </c>
      <c r="J11" s="8" t="inlineStr">
        <is>
          <t>neutral</t>
        </is>
      </c>
      <c r="K11" s="8" t="inlineStr">
        <is>
          <t>neutral</t>
        </is>
      </c>
      <c r="L11" s="8" t="n">
        <v>3</v>
      </c>
      <c r="M11" s="8" t="n">
        <v>2</v>
      </c>
      <c r="N11" s="8" t="n">
        <v>3</v>
      </c>
      <c r="O11" s="8" t="n">
        <v>3</v>
      </c>
      <c r="P11" s="8" t="n">
        <v>3</v>
      </c>
      <c r="Q11" s="8" t="n">
        <v>2</v>
      </c>
      <c r="R11" s="8" t="n">
        <v>2</v>
      </c>
      <c r="S11" s="8" t="n">
        <v>2</v>
      </c>
      <c r="T11" s="8" t="n">
        <v>2</v>
      </c>
      <c r="U11" s="8" t="n">
        <v>2</v>
      </c>
      <c r="V11" s="8" t="inlineStr">
        <is>
          <t>neutral</t>
        </is>
      </c>
      <c r="W11" s="8" t="inlineStr">
        <is>
          <t>neutral</t>
        </is>
      </c>
      <c r="X11" s="8" t="inlineStr">
        <is>
          <t>neutral</t>
        </is>
      </c>
      <c r="Y11" s="8" t="inlineStr">
        <is>
          <t>neutral</t>
        </is>
      </c>
      <c r="Z11" s="8" t="inlineStr">
        <is>
          <t>neutral</t>
        </is>
      </c>
      <c r="AA11" s="8" t="b">
        <v>0</v>
      </c>
      <c r="AB11" s="8" t="b">
        <v>0</v>
      </c>
      <c r="AC11" s="8" t="b">
        <v>0</v>
      </c>
      <c r="AD11" s="9">
        <f>IFERROR(INDEX(scoreCat!$D$2:$D$99,MATCH("political|"&amp;B11&amp;"|"&amp;V11,scoreCat!$F$2:$F$99,0)),50)</f>
        <v/>
      </c>
      <c r="AE11" s="9">
        <f>IFERROR(INDEX(scoreCat!$D$2:$D$99,MATCH("charity|"&amp;C11&amp;"|any",scoreCat!$F$2:$F$99,0)),50)</f>
        <v/>
      </c>
      <c r="AF11" s="9">
        <f>IFERROR(INDEX(scoreCat!$D$2:$D$99,MATCH("environment|"&amp;D11&amp;"|any",scoreCat!$F$2:$F$99,0)),50)</f>
        <v/>
      </c>
      <c r="AG11" s="9">
        <f>IFERROR(INDEX(scoreCat!$D$2:$D$99,MATCH("labor|"&amp;E11&amp;"|"&amp;Z11,scoreCat!$F$2:$F$99,0)),50)</f>
        <v/>
      </c>
      <c r="AH11" s="9">
        <f>IFERROR(INDEX(scoreCat!$D$2:$D$99,MATCH("dei|"&amp;F11&amp;"|"&amp;W11,scoreCat!$F$2:$F$99,0)),50)</f>
        <v/>
      </c>
      <c r="AI11" s="9">
        <f>IFERROR(INDEX(scoreCat!$D$2:$D$99,MATCH("animals|"&amp;G11&amp;"|"&amp;X11,scoreCat!$F$2:$F$99,0)),50)</f>
        <v/>
      </c>
      <c r="AJ11" s="9">
        <f>IFERROR(INDEX(scoreCat!$D$2:$D$99,MATCH("guns|"&amp;H11&amp;"|"&amp;Y11,scoreCat!$F$2:$F$99,0)),50)</f>
        <v/>
      </c>
      <c r="AK11" s="9">
        <f>IFERROR(INDEX(scoreCat!$D$2:$D$99,MATCH("privacy|"&amp;I11&amp;"|any",scoreCat!$F$2:$F$99,0)),50)</f>
        <v/>
      </c>
      <c r="AL11" s="9">
        <f>IFERROR(INDEX(scoreCat!$D$2:$D$99,MATCH("execPay|"&amp;J11&amp;"|any",scoreCat!$F$2:$F$99,0)),50)</f>
        <v/>
      </c>
      <c r="AM11" s="9">
        <f>IFERROR(INDEX(scoreCat!$D$2:$D$99,MATCH("health|"&amp;K11&amp;"|any",scoreCat!$F$2:$F$99,0)),50)</f>
        <v/>
      </c>
      <c r="AN11" s="9">
        <f>L11*IF(AND(V11&lt;&gt;"neutral",V11&lt;&gt;""),2,1)</f>
        <v/>
      </c>
      <c r="AO11" s="9">
        <f>M11*1</f>
        <v/>
      </c>
      <c r="AP11" s="9">
        <f>N11*1</f>
        <v/>
      </c>
      <c r="AQ11" s="9">
        <f>O11*IF(AND(Z11&lt;&gt;"neutral",Z11&lt;&gt;""),2,1)</f>
        <v/>
      </c>
      <c r="AR11" s="9">
        <f>P11*IF(AND(W11&lt;&gt;"neutral",W11&lt;&gt;""),2,1)</f>
        <v/>
      </c>
      <c r="AS11" s="9">
        <f>Q11*IF(AND(X11&lt;&gt;"neutral",X11&lt;&gt;""),2,1)</f>
        <v/>
      </c>
      <c r="AT11" s="9">
        <f>R11*IF(AND(Y11&lt;&gt;"neutral",Y11&lt;&gt;""),4,1)</f>
        <v/>
      </c>
      <c r="AU11" s="9">
        <f>S11*1</f>
        <v/>
      </c>
      <c r="AV11" s="9">
        <f>T11*1</f>
        <v/>
      </c>
      <c r="AW11" s="9">
        <f>U11*1</f>
        <v/>
      </c>
      <c r="AX11" s="9">
        <f>IF(OR(B11="neutral",B11="na",B11="n/a",B11=""),0,AD11*AN11)</f>
        <v/>
      </c>
      <c r="AY11" s="9">
        <f>IF(OR(C11="neutral",C11="na",C11="n/a",C11=""),0,AE11*AO11)</f>
        <v/>
      </c>
      <c r="AZ11" s="9">
        <f>IF(OR(D11="neutral",D11="na",D11="n/a",D11=""),0,AF11*AP11)</f>
        <v/>
      </c>
      <c r="BA11" s="9">
        <f>IF(OR(E11="neutral",E11="na",E11="n/a",E11=""),0,AG11*AQ11)</f>
        <v/>
      </c>
      <c r="BB11" s="9">
        <f>IF(OR(F11="neutral",F11="na",F11="n/a",F11=""),0,AH11*AR11)</f>
        <v/>
      </c>
      <c r="BC11" s="9">
        <f>IF(OR(G11="neutral",G11="na",G11="n/a",G11=""),0,AI11*AS11)</f>
        <v/>
      </c>
      <c r="BD11" s="9">
        <f>IF(OR(H11="neutral",H11="na",H11="n/a",H11=""),0,AJ11*AT11)</f>
        <v/>
      </c>
      <c r="BE11" s="9">
        <f>IF(OR(I11="neutral",I11="na",I11="n/a",I11=""),0,AK11*AU11)</f>
        <v/>
      </c>
      <c r="BF11" s="9">
        <f>IF(OR(J11="neutral",J11="na",J11="n/a",J11=""),0,AL11*AV11)</f>
        <v/>
      </c>
      <c r="BG11" s="9">
        <f>IF(OR(K11="neutral",K11="na",K11="n/a",K11=""),0,AM11*AW11)</f>
        <v/>
      </c>
      <c r="BH11" s="9">
        <f>IF(OR(B11="neutral",B11="na",B11="n/a",B11=""),0,AN11)+IF(OR(C11="neutral",C11="na",C11="n/a",C11=""),0,AO11)+IF(OR(D11="neutral",D11="na",D11="n/a",D11=""),0,AP11)+IF(OR(E11="neutral",E11="na",E11="n/a",E11=""),0,AQ11)+IF(OR(F11="neutral",F11="na",F11="n/a",F11=""),0,AR11)+IF(OR(G11="neutral",G11="na",G11="n/a",G11=""),0,AS11)+IF(OR(H11="neutral",H11="na",H11="n/a",H11=""),0,AT11)+IF(OR(I11="neutral",I11="na",I11="n/a",I11=""),0,AU11)+IF(OR(J11="neutral",J11="na",J11="n/a",J11=""),0,AV11)+IF(OR(K11="neutral",K11="na",K11="n/a",K11=""),0,AW11)</f>
        <v/>
      </c>
      <c r="BI11" s="9">
        <f>SUM(AX11:BG11)</f>
        <v/>
      </c>
      <c r="BJ11" s="10">
        <f>IF(BH11=0,"?",BI11/BH11)</f>
        <v/>
      </c>
      <c r="BK11" s="9">
        <f>IF(AA11=TRUE,30,0)+IF(AB11=TRUE,25,0)+IF(AC11=TRUE,30,0)</f>
        <v/>
      </c>
      <c r="BL11" s="11">
        <f>IF(BJ11="?","?",MAX(0,MIN(100,ROUND(BJ11-BK11,0))))</f>
        <v/>
      </c>
      <c r="BM11" s="12">
        <f>IF(BL11="?","?",IF(BL11&gt;=75,"A",IF(BL11&gt;=62,"B",IF(BL11&gt;=48,"C",IF(BL11&gt;=35,"D","F")))))</f>
        <v/>
      </c>
    </row>
    <row r="13">
      <c r="A13" s="3" t="inlineStr">
        <is>
          <t>HOW TO USE: Edit any YELLOW cell in rows 3–11. The light-blue 'Result' columns recompute automatically. Reference scoreCat / Weights / Dealbreakers sheets for the lookup tables.</t>
        </is>
      </c>
    </row>
  </sheetData>
  <mergeCells count="9">
    <mergeCell ref="AN1:AW1"/>
    <mergeCell ref="AA1:AC1"/>
    <mergeCell ref="B1:K1"/>
    <mergeCell ref="V1:Z1"/>
    <mergeCell ref="AD1:AM1"/>
    <mergeCell ref="A13:J13"/>
    <mergeCell ref="L1:U1"/>
    <mergeCell ref="AX1:BG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0" customWidth="1" min="4" max="4"/>
    <col width="48" customWidth="1" min="5" max="5"/>
    <col width="30" customWidth="1" min="6" max="6"/>
  </cols>
  <sheetData>
    <row r="1">
      <c r="A1" s="6" t="inlineStr">
        <is>
          <t>Category</t>
        </is>
      </c>
      <c r="B1" s="6" t="inlineStr">
        <is>
          <t>Enum value</t>
        </is>
      </c>
      <c r="C1" s="6" t="inlineStr">
        <is>
          <t>User stance</t>
        </is>
      </c>
      <c r="D1" s="6" t="inlineStr">
        <is>
          <t>Score</t>
        </is>
      </c>
      <c r="E1" s="6" t="inlineStr">
        <is>
          <t>Notes</t>
        </is>
      </c>
      <c r="F1" s="13" t="inlineStr">
        <is>
          <t>key</t>
        </is>
      </c>
    </row>
    <row r="2">
      <c r="A2" s="14" t="inlineStr">
        <is>
          <t>political</t>
        </is>
      </c>
      <c r="B2" s="14" t="inlineStr">
        <is>
          <t>left</t>
        </is>
      </c>
      <c r="C2" s="14" t="inlineStr">
        <is>
          <t>left</t>
        </is>
      </c>
      <c r="D2" s="14" t="n">
        <v>97</v>
      </c>
      <c r="E2" s="15" t="inlineStr">
        <is>
          <t>User picked Democrat, company donates left → strong positive</t>
        </is>
      </c>
      <c r="F2" s="7">
        <f>A2&amp;"|"&amp;B2&amp;"|"&amp;C2</f>
        <v/>
      </c>
    </row>
    <row r="3">
      <c r="A3" s="14" t="inlineStr">
        <is>
          <t>political</t>
        </is>
      </c>
      <c r="B3" s="14" t="inlineStr">
        <is>
          <t>left-leaning</t>
        </is>
      </c>
      <c r="C3" s="14" t="inlineStr">
        <is>
          <t>left</t>
        </is>
      </c>
      <c r="D3" s="14" t="n">
        <v>97</v>
      </c>
      <c r="E3" s="15" t="inlineStr">
        <is>
          <t>Same as left</t>
        </is>
      </c>
      <c r="F3" s="7">
        <f>A3&amp;"|"&amp;B3&amp;"|"&amp;C3</f>
        <v/>
      </c>
    </row>
    <row r="4">
      <c r="A4" s="14" t="inlineStr">
        <is>
          <t>political</t>
        </is>
      </c>
      <c r="B4" s="14" t="inlineStr">
        <is>
          <t>bipartisan</t>
        </is>
      </c>
      <c r="C4" s="14" t="inlineStr">
        <is>
          <t>left</t>
        </is>
      </c>
      <c r="D4" s="14" t="n">
        <v>62</v>
      </c>
      <c r="E4" s="15" t="inlineStr">
        <is>
          <t>Neutral company, slight positive for D user</t>
        </is>
      </c>
      <c r="F4" s="7">
        <f>A4&amp;"|"&amp;B4&amp;"|"&amp;C4</f>
        <v/>
      </c>
    </row>
    <row r="5">
      <c r="A5" s="14" t="inlineStr">
        <is>
          <t>political</t>
        </is>
      </c>
      <c r="B5" s="14" t="inlineStr">
        <is>
          <t>mixed</t>
        </is>
      </c>
      <c r="C5" s="14" t="inlineStr">
        <is>
          <t>left</t>
        </is>
      </c>
      <c r="D5" s="14" t="n">
        <v>62</v>
      </c>
      <c r="E5" s="15" t="inlineStr">
        <is>
          <t>Same</t>
        </is>
      </c>
      <c r="F5" s="7">
        <f>A5&amp;"|"&amp;B5&amp;"|"&amp;C5</f>
        <v/>
      </c>
    </row>
    <row r="6">
      <c r="A6" s="14" t="inlineStr">
        <is>
          <t>political</t>
        </is>
      </c>
      <c r="B6" s="14" t="inlineStr">
        <is>
          <t>neutral</t>
        </is>
      </c>
      <c r="C6" s="14" t="inlineStr">
        <is>
          <t>left</t>
        </is>
      </c>
      <c r="D6" s="14" t="n">
        <v>48</v>
      </c>
      <c r="E6" s="15" t="inlineStr">
        <is>
          <t>No data</t>
        </is>
      </c>
      <c r="F6" s="7">
        <f>A6&amp;"|"&amp;B6&amp;"|"&amp;C6</f>
        <v/>
      </c>
    </row>
    <row r="7">
      <c r="A7" s="14" t="inlineStr">
        <is>
          <t>political</t>
        </is>
      </c>
      <c r="B7" s="14" t="inlineStr">
        <is>
          <t>right</t>
        </is>
      </c>
      <c r="C7" s="14" t="inlineStr">
        <is>
          <t>left</t>
        </is>
      </c>
      <c r="D7" s="14" t="n">
        <v>8</v>
      </c>
      <c r="E7" s="15" t="inlineStr">
        <is>
          <t>Opposite stance — heavy penalty</t>
        </is>
      </c>
      <c r="F7" s="7">
        <f>A7&amp;"|"&amp;B7&amp;"|"&amp;C7</f>
        <v/>
      </c>
    </row>
    <row r="8">
      <c r="A8" s="14" t="inlineStr">
        <is>
          <t>political</t>
        </is>
      </c>
      <c r="B8" s="14" t="inlineStr">
        <is>
          <t>right-leaning</t>
        </is>
      </c>
      <c r="C8" s="14" t="inlineStr">
        <is>
          <t>left</t>
        </is>
      </c>
      <c r="D8" s="14" t="n">
        <v>8</v>
      </c>
      <c r="E8" s="15" t="inlineStr">
        <is>
          <t>Same</t>
        </is>
      </c>
      <c r="F8" s="7">
        <f>A8&amp;"|"&amp;B8&amp;"|"&amp;C8</f>
        <v/>
      </c>
    </row>
    <row r="9">
      <c r="A9" s="14" t="inlineStr">
        <is>
          <t>political</t>
        </is>
      </c>
      <c r="B9" s="14" t="inlineStr">
        <is>
          <t>left</t>
        </is>
      </c>
      <c r="C9" s="14" t="inlineStr">
        <is>
          <t>right</t>
        </is>
      </c>
      <c r="D9" s="14" t="n">
        <v>8</v>
      </c>
      <c r="E9" s="15" t="inlineStr">
        <is>
          <t>Opposite stance for R user</t>
        </is>
      </c>
      <c r="F9" s="7">
        <f>A9&amp;"|"&amp;B9&amp;"|"&amp;C9</f>
        <v/>
      </c>
    </row>
    <row r="10">
      <c r="A10" s="14" t="inlineStr">
        <is>
          <t>political</t>
        </is>
      </c>
      <c r="B10" s="14" t="inlineStr">
        <is>
          <t>left-leaning</t>
        </is>
      </c>
      <c r="C10" s="14" t="inlineStr">
        <is>
          <t>right</t>
        </is>
      </c>
      <c r="D10" s="14" t="n">
        <v>8</v>
      </c>
      <c r="E10" s="15" t="inlineStr">
        <is>
          <t>Same</t>
        </is>
      </c>
      <c r="F10" s="7">
        <f>A10&amp;"|"&amp;B10&amp;"|"&amp;C10</f>
        <v/>
      </c>
    </row>
    <row r="11">
      <c r="A11" s="14" t="inlineStr">
        <is>
          <t>political</t>
        </is>
      </c>
      <c r="B11" s="14" t="inlineStr">
        <is>
          <t>bipartisan</t>
        </is>
      </c>
      <c r="C11" s="14" t="inlineStr">
        <is>
          <t>right</t>
        </is>
      </c>
      <c r="D11" s="14" t="n">
        <v>62</v>
      </c>
      <c r="E11" s="15" t="inlineStr">
        <is>
          <t>Slight positive</t>
        </is>
      </c>
      <c r="F11" s="7">
        <f>A11&amp;"|"&amp;B11&amp;"|"&amp;C11</f>
        <v/>
      </c>
    </row>
    <row r="12">
      <c r="A12" s="14" t="inlineStr">
        <is>
          <t>political</t>
        </is>
      </c>
      <c r="B12" s="14" t="inlineStr">
        <is>
          <t>mixed</t>
        </is>
      </c>
      <c r="C12" s="14" t="inlineStr">
        <is>
          <t>right</t>
        </is>
      </c>
      <c r="D12" s="14" t="n">
        <v>62</v>
      </c>
      <c r="E12" s="15" t="inlineStr"/>
      <c r="F12" s="7">
        <f>A12&amp;"|"&amp;B12&amp;"|"&amp;C12</f>
        <v/>
      </c>
    </row>
    <row r="13">
      <c r="A13" s="14" t="inlineStr">
        <is>
          <t>political</t>
        </is>
      </c>
      <c r="B13" s="14" t="inlineStr">
        <is>
          <t>neutral</t>
        </is>
      </c>
      <c r="C13" s="14" t="inlineStr">
        <is>
          <t>right</t>
        </is>
      </c>
      <c r="D13" s="14" t="n">
        <v>48</v>
      </c>
      <c r="E13" s="15" t="inlineStr"/>
      <c r="F13" s="7">
        <f>A13&amp;"|"&amp;B13&amp;"|"&amp;C13</f>
        <v/>
      </c>
    </row>
    <row r="14">
      <c r="A14" s="14" t="inlineStr">
        <is>
          <t>political</t>
        </is>
      </c>
      <c r="B14" s="14" t="inlineStr">
        <is>
          <t>right</t>
        </is>
      </c>
      <c r="C14" s="14" t="inlineStr">
        <is>
          <t>right</t>
        </is>
      </c>
      <c r="D14" s="14" t="n">
        <v>97</v>
      </c>
      <c r="E14" s="15" t="inlineStr">
        <is>
          <t>Match — strong positive</t>
        </is>
      </c>
      <c r="F14" s="7">
        <f>A14&amp;"|"&amp;B14&amp;"|"&amp;C14</f>
        <v/>
      </c>
    </row>
    <row r="15">
      <c r="A15" s="14" t="inlineStr">
        <is>
          <t>political</t>
        </is>
      </c>
      <c r="B15" s="14" t="inlineStr">
        <is>
          <t>right-leaning</t>
        </is>
      </c>
      <c r="C15" s="14" t="inlineStr">
        <is>
          <t>right</t>
        </is>
      </c>
      <c r="D15" s="14" t="n">
        <v>97</v>
      </c>
      <c r="E15" s="15" t="inlineStr"/>
      <c r="F15" s="7">
        <f>A15&amp;"|"&amp;B15&amp;"|"&amp;C15</f>
        <v/>
      </c>
    </row>
    <row r="16">
      <c r="A16" s="14" t="inlineStr">
        <is>
          <t>political</t>
        </is>
      </c>
      <c r="B16" s="14" t="inlineStr">
        <is>
          <t>bipartisan</t>
        </is>
      </c>
      <c r="C16" s="14" t="inlineStr">
        <is>
          <t>neutral</t>
        </is>
      </c>
      <c r="D16" s="14" t="n">
        <v>80</v>
      </c>
      <c r="E16" s="15" t="inlineStr">
        <is>
          <t>No user lean, bipartisan = good</t>
        </is>
      </c>
      <c r="F16" s="7">
        <f>A16&amp;"|"&amp;B16&amp;"|"&amp;C16</f>
        <v/>
      </c>
    </row>
    <row r="17">
      <c r="A17" s="14" t="inlineStr">
        <is>
          <t>political</t>
        </is>
      </c>
      <c r="B17" s="14" t="inlineStr">
        <is>
          <t>mixed</t>
        </is>
      </c>
      <c r="C17" s="14" t="inlineStr">
        <is>
          <t>neutral</t>
        </is>
      </c>
      <c r="D17" s="14" t="n">
        <v>80</v>
      </c>
      <c r="E17" s="15" t="inlineStr"/>
      <c r="F17" s="7">
        <f>A17&amp;"|"&amp;B17&amp;"|"&amp;C17</f>
        <v/>
      </c>
    </row>
    <row r="18">
      <c r="A18" s="14" t="inlineStr">
        <is>
          <t>political</t>
        </is>
      </c>
      <c r="B18" s="14" t="inlineStr">
        <is>
          <t>neutral</t>
        </is>
      </c>
      <c r="C18" s="14" t="inlineStr">
        <is>
          <t>neutral</t>
        </is>
      </c>
      <c r="D18" s="14" t="n">
        <v>72</v>
      </c>
      <c r="E18" s="15" t="inlineStr"/>
      <c r="F18" s="7">
        <f>A18&amp;"|"&amp;B18&amp;"|"&amp;C18</f>
        <v/>
      </c>
    </row>
    <row r="19">
      <c r="A19" s="14" t="inlineStr">
        <is>
          <t>political</t>
        </is>
      </c>
      <c r="B19" s="14" t="inlineStr">
        <is>
          <t>left</t>
        </is>
      </c>
      <c r="C19" s="14" t="inlineStr">
        <is>
          <t>neutral</t>
        </is>
      </c>
      <c r="D19" s="14" t="n">
        <v>52</v>
      </c>
      <c r="E19" s="15" t="inlineStr"/>
      <c r="F19" s="7">
        <f>A19&amp;"|"&amp;B19&amp;"|"&amp;C19</f>
        <v/>
      </c>
    </row>
    <row r="20">
      <c r="A20" s="14" t="inlineStr">
        <is>
          <t>political</t>
        </is>
      </c>
      <c r="B20" s="14" t="inlineStr">
        <is>
          <t>right</t>
        </is>
      </c>
      <c r="C20" s="14" t="inlineStr">
        <is>
          <t>neutral</t>
        </is>
      </c>
      <c r="D20" s="14" t="n">
        <v>52</v>
      </c>
      <c r="E20" s="15" t="inlineStr"/>
      <c r="F20" s="7">
        <f>A20&amp;"|"&amp;B20&amp;"|"&amp;C20</f>
        <v/>
      </c>
    </row>
    <row r="21">
      <c r="A21" s="14" t="inlineStr">
        <is>
          <t>political</t>
        </is>
      </c>
      <c r="B21" s="14" t="inlineStr">
        <is>
          <t>left-leaning</t>
        </is>
      </c>
      <c r="C21" s="14" t="inlineStr">
        <is>
          <t>neutral</t>
        </is>
      </c>
      <c r="D21" s="14" t="n">
        <v>52</v>
      </c>
      <c r="E21" s="15" t="inlineStr"/>
      <c r="F21" s="7">
        <f>A21&amp;"|"&amp;B21&amp;"|"&amp;C21</f>
        <v/>
      </c>
    </row>
    <row r="22">
      <c r="A22" s="14" t="inlineStr">
        <is>
          <t>political</t>
        </is>
      </c>
      <c r="B22" s="14" t="inlineStr">
        <is>
          <t>right-leaning</t>
        </is>
      </c>
      <c r="C22" s="14" t="inlineStr">
        <is>
          <t>neutral</t>
        </is>
      </c>
      <c r="D22" s="14" t="n">
        <v>52</v>
      </c>
      <c r="E22" s="15" t="inlineStr"/>
      <c r="F22" s="7">
        <f>A22&amp;"|"&amp;B22&amp;"|"&amp;C22</f>
        <v/>
      </c>
    </row>
    <row r="23">
      <c r="A23" s="14" t="inlineStr">
        <is>
          <t>dei</t>
        </is>
      </c>
      <c r="B23" s="14" t="inlineStr">
        <is>
          <t>pro_dei</t>
        </is>
      </c>
      <c r="C23" s="14" t="inlineStr">
        <is>
          <t>pro</t>
        </is>
      </c>
      <c r="D23" s="14" t="n">
        <v>97</v>
      </c>
      <c r="E23" s="15" t="inlineStr">
        <is>
          <t>Pro-DEI user, company has DEI programs</t>
        </is>
      </c>
      <c r="F23" s="7">
        <f>A23&amp;"|"&amp;B23&amp;"|"&amp;C23</f>
        <v/>
      </c>
    </row>
    <row r="24">
      <c r="A24" s="14" t="inlineStr">
        <is>
          <t>dei</t>
        </is>
      </c>
      <c r="B24" s="14" t="inlineStr">
        <is>
          <t>mixed</t>
        </is>
      </c>
      <c r="C24" s="14" t="inlineStr">
        <is>
          <t>pro</t>
        </is>
      </c>
      <c r="D24" s="14" t="n">
        <v>52</v>
      </c>
      <c r="E24" s="15" t="inlineStr"/>
      <c r="F24" s="7">
        <f>A24&amp;"|"&amp;B24&amp;"|"&amp;C24</f>
        <v/>
      </c>
    </row>
    <row r="25">
      <c r="A25" s="14" t="inlineStr">
        <is>
          <t>dei</t>
        </is>
      </c>
      <c r="B25" s="14" t="inlineStr">
        <is>
          <t>neutral</t>
        </is>
      </c>
      <c r="C25" s="14" t="inlineStr">
        <is>
          <t>pro</t>
        </is>
      </c>
      <c r="D25" s="14" t="n">
        <v>45</v>
      </c>
      <c r="E25" s="15" t="inlineStr"/>
      <c r="F25" s="7">
        <f>A25&amp;"|"&amp;B25&amp;"|"&amp;C25</f>
        <v/>
      </c>
    </row>
    <row r="26">
      <c r="A26" s="14" t="inlineStr">
        <is>
          <t>dei</t>
        </is>
      </c>
      <c r="B26" s="14" t="inlineStr">
        <is>
          <t>anti_dei</t>
        </is>
      </c>
      <c r="C26" s="14" t="inlineStr">
        <is>
          <t>pro</t>
        </is>
      </c>
      <c r="D26" s="14" t="n">
        <v>5</v>
      </c>
      <c r="E26" s="15" t="inlineStr">
        <is>
          <t>Opposite stance — heavy penalty</t>
        </is>
      </c>
      <c r="F26" s="7">
        <f>A26&amp;"|"&amp;B26&amp;"|"&amp;C26</f>
        <v/>
      </c>
    </row>
    <row r="27">
      <c r="A27" s="14" t="inlineStr">
        <is>
          <t>dei</t>
        </is>
      </c>
      <c r="B27" s="14" t="inlineStr">
        <is>
          <t>anti_dei</t>
        </is>
      </c>
      <c r="C27" s="14" t="inlineStr">
        <is>
          <t>anti</t>
        </is>
      </c>
      <c r="D27" s="14" t="n">
        <v>97</v>
      </c>
      <c r="E27" s="15" t="inlineStr">
        <is>
          <t>Anti-DEI user, company anti-DEI</t>
        </is>
      </c>
      <c r="F27" s="7">
        <f>A27&amp;"|"&amp;B27&amp;"|"&amp;C27</f>
        <v/>
      </c>
    </row>
    <row r="28">
      <c r="A28" s="14" t="inlineStr">
        <is>
          <t>dei</t>
        </is>
      </c>
      <c r="B28" s="14" t="inlineStr">
        <is>
          <t>mixed</t>
        </is>
      </c>
      <c r="C28" s="14" t="inlineStr">
        <is>
          <t>anti</t>
        </is>
      </c>
      <c r="D28" s="14" t="n">
        <v>52</v>
      </c>
      <c r="E28" s="15" t="inlineStr"/>
      <c r="F28" s="7">
        <f>A28&amp;"|"&amp;B28&amp;"|"&amp;C28</f>
        <v/>
      </c>
    </row>
    <row r="29">
      <c r="A29" s="14" t="inlineStr">
        <is>
          <t>dei</t>
        </is>
      </c>
      <c r="B29" s="14" t="inlineStr">
        <is>
          <t>neutral</t>
        </is>
      </c>
      <c r="C29" s="14" t="inlineStr">
        <is>
          <t>anti</t>
        </is>
      </c>
      <c r="D29" s="14" t="n">
        <v>45</v>
      </c>
      <c r="E29" s="15" t="inlineStr"/>
      <c r="F29" s="7">
        <f>A29&amp;"|"&amp;B29&amp;"|"&amp;C29</f>
        <v/>
      </c>
    </row>
    <row r="30">
      <c r="A30" s="14" t="inlineStr">
        <is>
          <t>dei</t>
        </is>
      </c>
      <c r="B30" s="14" t="inlineStr">
        <is>
          <t>pro_dei</t>
        </is>
      </c>
      <c r="C30" s="14" t="inlineStr">
        <is>
          <t>anti</t>
        </is>
      </c>
      <c r="D30" s="14" t="n">
        <v>5</v>
      </c>
      <c r="E30" s="15" t="inlineStr">
        <is>
          <t>Opposite stance</t>
        </is>
      </c>
      <c r="F30" s="7">
        <f>A30&amp;"|"&amp;B30&amp;"|"&amp;C30</f>
        <v/>
      </c>
    </row>
    <row r="31">
      <c r="A31" s="14" t="inlineStr">
        <is>
          <t>dei</t>
        </is>
      </c>
      <c r="B31" s="14" t="inlineStr">
        <is>
          <t>pro_dei</t>
        </is>
      </c>
      <c r="C31" s="14" t="inlineStr">
        <is>
          <t>neutral</t>
        </is>
      </c>
      <c r="D31" s="14" t="n">
        <v>62</v>
      </c>
      <c r="E31" s="15" t="inlineStr">
        <is>
          <t>No user preference</t>
        </is>
      </c>
      <c r="F31" s="7">
        <f>A31&amp;"|"&amp;B31&amp;"|"&amp;C31</f>
        <v/>
      </c>
    </row>
    <row r="32">
      <c r="A32" s="14" t="inlineStr">
        <is>
          <t>dei</t>
        </is>
      </c>
      <c r="B32" s="14" t="inlineStr">
        <is>
          <t>anti_dei</t>
        </is>
      </c>
      <c r="C32" s="14" t="inlineStr">
        <is>
          <t>neutral</t>
        </is>
      </c>
      <c r="D32" s="14" t="n">
        <v>62</v>
      </c>
      <c r="E32" s="15" t="inlineStr"/>
      <c r="F32" s="7">
        <f>A32&amp;"|"&amp;B32&amp;"|"&amp;C32</f>
        <v/>
      </c>
    </row>
    <row r="33">
      <c r="A33" s="14" t="inlineStr">
        <is>
          <t>dei</t>
        </is>
      </c>
      <c r="B33" s="14" t="inlineStr">
        <is>
          <t>mixed</t>
        </is>
      </c>
      <c r="C33" s="14" t="inlineStr">
        <is>
          <t>neutral</t>
        </is>
      </c>
      <c r="D33" s="14" t="n">
        <v>62</v>
      </c>
      <c r="E33" s="15" t="inlineStr"/>
      <c r="F33" s="7">
        <f>A33&amp;"|"&amp;B33&amp;"|"&amp;C33</f>
        <v/>
      </c>
    </row>
    <row r="34">
      <c r="A34" s="14" t="inlineStr">
        <is>
          <t>animals</t>
        </is>
      </c>
      <c r="B34" s="14" t="inlineStr">
        <is>
          <t>cruelty_free</t>
        </is>
      </c>
      <c r="C34" s="14" t="inlineStr">
        <is>
          <t>dealbreaker</t>
        </is>
      </c>
      <c r="D34" s="14" t="n">
        <v>97</v>
      </c>
      <c r="E34" s="15" t="inlineStr">
        <is>
          <t>User picks animal testing as dealbreaker</t>
        </is>
      </c>
      <c r="F34" s="7">
        <f>A34&amp;"|"&amp;B34&amp;"|"&amp;C34</f>
        <v/>
      </c>
    </row>
    <row r="35">
      <c r="A35" s="14" t="inlineStr">
        <is>
          <t>animals</t>
        </is>
      </c>
      <c r="B35" s="14" t="inlineStr">
        <is>
          <t>some_testing</t>
        </is>
      </c>
      <c r="C35" s="14" t="inlineStr">
        <is>
          <t>dealbreaker</t>
        </is>
      </c>
      <c r="D35" s="14" t="n">
        <v>15</v>
      </c>
      <c r="E35" s="15" t="inlineStr"/>
      <c r="F35" s="7">
        <f>A35&amp;"|"&amp;B35&amp;"|"&amp;C35</f>
        <v/>
      </c>
    </row>
    <row r="36">
      <c r="A36" s="14" t="inlineStr">
        <is>
          <t>animals</t>
        </is>
      </c>
      <c r="B36" s="14" t="inlineStr">
        <is>
          <t>tests_animals</t>
        </is>
      </c>
      <c r="C36" s="14" t="inlineStr">
        <is>
          <t>dealbreaker</t>
        </is>
      </c>
      <c r="D36" s="14" t="n">
        <v>0</v>
      </c>
      <c r="E36" s="15" t="inlineStr">
        <is>
          <t>Triggers animal-testing dealbreaker — see Dealbreakers sheet</t>
        </is>
      </c>
      <c r="F36" s="7">
        <f>A36&amp;"|"&amp;B36&amp;"|"&amp;C36</f>
        <v/>
      </c>
    </row>
    <row r="37">
      <c r="A37" s="14" t="inlineStr">
        <is>
          <t>animals</t>
        </is>
      </c>
      <c r="B37" s="14" t="inlineStr">
        <is>
          <t>cruelty_free</t>
        </is>
      </c>
      <c r="C37" s="14" t="inlineStr">
        <is>
          <t>prefer_not</t>
        </is>
      </c>
      <c r="D37" s="14" t="n">
        <v>92</v>
      </c>
      <c r="E37" s="15" t="inlineStr">
        <is>
          <t>User prefers not</t>
        </is>
      </c>
      <c r="F37" s="7">
        <f>A37&amp;"|"&amp;B37&amp;"|"&amp;C37</f>
        <v/>
      </c>
    </row>
    <row r="38">
      <c r="A38" s="14" t="inlineStr">
        <is>
          <t>animals</t>
        </is>
      </c>
      <c r="B38" s="14" t="inlineStr">
        <is>
          <t>some_testing</t>
        </is>
      </c>
      <c r="C38" s="14" t="inlineStr">
        <is>
          <t>prefer_not</t>
        </is>
      </c>
      <c r="D38" s="14" t="n">
        <v>52</v>
      </c>
      <c r="E38" s="15" t="inlineStr"/>
      <c r="F38" s="7">
        <f>A38&amp;"|"&amp;B38&amp;"|"&amp;C38</f>
        <v/>
      </c>
    </row>
    <row r="39">
      <c r="A39" s="14" t="inlineStr">
        <is>
          <t>animals</t>
        </is>
      </c>
      <c r="B39" s="14" t="inlineStr">
        <is>
          <t>tests_animals</t>
        </is>
      </c>
      <c r="C39" s="14" t="inlineStr">
        <is>
          <t>prefer_not</t>
        </is>
      </c>
      <c r="D39" s="14" t="n">
        <v>20</v>
      </c>
      <c r="E39" s="15" t="inlineStr"/>
      <c r="F39" s="7">
        <f>A39&amp;"|"&amp;B39&amp;"|"&amp;C39</f>
        <v/>
      </c>
    </row>
    <row r="40">
      <c r="A40" s="14" t="inlineStr">
        <is>
          <t>animals</t>
        </is>
      </c>
      <c r="B40" s="14" t="inlineStr">
        <is>
          <t>cruelty_free</t>
        </is>
      </c>
      <c r="C40" s="14" t="inlineStr">
        <is>
          <t>neutral</t>
        </is>
      </c>
      <c r="D40" s="14" t="n">
        <v>62</v>
      </c>
      <c r="E40" s="15" t="inlineStr"/>
      <c r="F40" s="7">
        <f>A40&amp;"|"&amp;B40&amp;"|"&amp;C40</f>
        <v/>
      </c>
    </row>
    <row r="41">
      <c r="A41" s="14" t="inlineStr">
        <is>
          <t>animals</t>
        </is>
      </c>
      <c r="B41" s="14" t="inlineStr">
        <is>
          <t>some_testing</t>
        </is>
      </c>
      <c r="C41" s="14" t="inlineStr">
        <is>
          <t>neutral</t>
        </is>
      </c>
      <c r="D41" s="14" t="n">
        <v>62</v>
      </c>
      <c r="E41" s="15" t="inlineStr"/>
      <c r="F41" s="7">
        <f>A41&amp;"|"&amp;B41&amp;"|"&amp;C41</f>
        <v/>
      </c>
    </row>
    <row r="42">
      <c r="A42" s="14" t="inlineStr">
        <is>
          <t>animals</t>
        </is>
      </c>
      <c r="B42" s="14" t="inlineStr">
        <is>
          <t>tests_animals</t>
        </is>
      </c>
      <c r="C42" s="14" t="inlineStr">
        <is>
          <t>neutral</t>
        </is>
      </c>
      <c r="D42" s="14" t="n">
        <v>62</v>
      </c>
      <c r="E42" s="15" t="inlineStr"/>
      <c r="F42" s="7">
        <f>A42&amp;"|"&amp;B42&amp;"|"&amp;C42</f>
        <v/>
      </c>
    </row>
    <row r="43">
      <c r="A43" s="14" t="inlineStr">
        <is>
          <t>guns</t>
        </is>
      </c>
      <c r="B43" s="14" t="inlineStr">
        <is>
          <t>no_guns</t>
        </is>
      </c>
      <c r="C43" s="14" t="inlineStr">
        <is>
          <t>avoid</t>
        </is>
      </c>
      <c r="D43" s="14" t="n">
        <v>97</v>
      </c>
      <c r="E43" s="15" t="inlineStr">
        <is>
          <t>User avoids gun-industry brands</t>
        </is>
      </c>
      <c r="F43" s="7">
        <f>A43&amp;"|"&amp;B43&amp;"|"&amp;C43</f>
        <v/>
      </c>
    </row>
    <row r="44">
      <c r="A44" s="14" t="inlineStr">
        <is>
          <t>guns</t>
        </is>
      </c>
      <c r="B44" s="14" t="inlineStr">
        <is>
          <t>sells_guns</t>
        </is>
      </c>
      <c r="C44" s="14" t="inlineStr">
        <is>
          <t>avoid</t>
        </is>
      </c>
      <c r="D44" s="14" t="n">
        <v>8</v>
      </c>
      <c r="E44" s="15" t="inlineStr"/>
      <c r="F44" s="7">
        <f>A44&amp;"|"&amp;B44&amp;"|"&amp;C44</f>
        <v/>
      </c>
    </row>
    <row r="45">
      <c r="A45" s="14" t="inlineStr">
        <is>
          <t>guns</t>
        </is>
      </c>
      <c r="B45" s="14" t="inlineStr">
        <is>
          <t>makes_guns</t>
        </is>
      </c>
      <c r="C45" s="14" t="inlineStr">
        <is>
          <t>avoid</t>
        </is>
      </c>
      <c r="D45" s="14" t="n">
        <v>3</v>
      </c>
      <c r="E45" s="15" t="inlineStr"/>
      <c r="F45" s="7">
        <f>A45&amp;"|"&amp;B45&amp;"|"&amp;C45</f>
        <v/>
      </c>
    </row>
    <row r="46">
      <c r="A46" s="14" t="inlineStr">
        <is>
          <t>guns</t>
        </is>
      </c>
      <c r="B46" s="14" t="inlineStr">
        <is>
          <t>no_guns</t>
        </is>
      </c>
      <c r="C46" s="14" t="inlineStr">
        <is>
          <t>support</t>
        </is>
      </c>
      <c r="D46" s="14" t="n">
        <v>35</v>
      </c>
      <c r="E46" s="15" t="inlineStr"/>
      <c r="F46" s="7">
        <f>A46&amp;"|"&amp;B46&amp;"|"&amp;C46</f>
        <v/>
      </c>
    </row>
    <row r="47">
      <c r="A47" s="14" t="inlineStr">
        <is>
          <t>guns</t>
        </is>
      </c>
      <c r="B47" s="14" t="inlineStr">
        <is>
          <t>sells_guns</t>
        </is>
      </c>
      <c r="C47" s="14" t="inlineStr">
        <is>
          <t>support</t>
        </is>
      </c>
      <c r="D47" s="14" t="n">
        <v>97</v>
      </c>
      <c r="E47" s="15" t="inlineStr"/>
      <c r="F47" s="7">
        <f>A47&amp;"|"&amp;B47&amp;"|"&amp;C47</f>
        <v/>
      </c>
    </row>
    <row r="48">
      <c r="A48" s="14" t="inlineStr">
        <is>
          <t>guns</t>
        </is>
      </c>
      <c r="B48" s="14" t="inlineStr">
        <is>
          <t>makes_guns</t>
        </is>
      </c>
      <c r="C48" s="14" t="inlineStr">
        <is>
          <t>support</t>
        </is>
      </c>
      <c r="D48" s="14" t="n">
        <v>97</v>
      </c>
      <c r="E48" s="15" t="inlineStr"/>
      <c r="F48" s="7">
        <f>A48&amp;"|"&amp;B48&amp;"|"&amp;C48</f>
        <v/>
      </c>
    </row>
    <row r="49">
      <c r="A49" s="14" t="inlineStr">
        <is>
          <t>guns</t>
        </is>
      </c>
      <c r="B49" s="14" t="inlineStr">
        <is>
          <t>no_guns</t>
        </is>
      </c>
      <c r="C49" s="14" t="inlineStr">
        <is>
          <t>neutral</t>
        </is>
      </c>
      <c r="D49" s="14" t="n">
        <v>62</v>
      </c>
      <c r="E49" s="15" t="inlineStr"/>
      <c r="F49" s="7">
        <f>A49&amp;"|"&amp;B49&amp;"|"&amp;C49</f>
        <v/>
      </c>
    </row>
    <row r="50">
      <c r="A50" s="14" t="inlineStr">
        <is>
          <t>guns</t>
        </is>
      </c>
      <c r="B50" s="14" t="inlineStr">
        <is>
          <t>sells_guns</t>
        </is>
      </c>
      <c r="C50" s="14" t="inlineStr">
        <is>
          <t>neutral</t>
        </is>
      </c>
      <c r="D50" s="14" t="n">
        <v>62</v>
      </c>
      <c r="E50" s="15" t="inlineStr"/>
      <c r="F50" s="7">
        <f>A50&amp;"|"&amp;B50&amp;"|"&amp;C50</f>
        <v/>
      </c>
    </row>
    <row r="51">
      <c r="A51" s="14" t="inlineStr">
        <is>
          <t>guns</t>
        </is>
      </c>
      <c r="B51" s="14" t="inlineStr">
        <is>
          <t>makes_guns</t>
        </is>
      </c>
      <c r="C51" s="14" t="inlineStr">
        <is>
          <t>neutral</t>
        </is>
      </c>
      <c r="D51" s="14" t="n">
        <v>62</v>
      </c>
      <c r="E51" s="15" t="inlineStr"/>
      <c r="F51" s="7">
        <f>A51&amp;"|"&amp;B51&amp;"|"&amp;C51</f>
        <v/>
      </c>
    </row>
    <row r="52">
      <c r="A52" s="14" t="inlineStr">
        <is>
          <t>labor</t>
        </is>
      </c>
      <c r="B52" s="14" t="inlineStr">
        <is>
          <t>positive</t>
        </is>
      </c>
      <c r="C52" s="14" t="inlineStr">
        <is>
          <t>pro</t>
        </is>
      </c>
      <c r="D52" s="14" t="n">
        <v>88</v>
      </c>
      <c r="E52" s="15" t="inlineStr">
        <is>
          <t>Strong labor + pro-union user (+8 boost capped at 97)</t>
        </is>
      </c>
      <c r="F52" s="7">
        <f>A52&amp;"|"&amp;B52&amp;"|"&amp;C52</f>
        <v/>
      </c>
    </row>
    <row r="53">
      <c r="A53" s="14" t="inlineStr">
        <is>
          <t>labor</t>
        </is>
      </c>
      <c r="B53" s="14" t="inlineStr">
        <is>
          <t>good</t>
        </is>
      </c>
      <c r="C53" s="14" t="inlineStr">
        <is>
          <t>pro</t>
        </is>
      </c>
      <c r="D53" s="14" t="n">
        <v>88</v>
      </c>
      <c r="E53" s="15" t="inlineStr"/>
      <c r="F53" s="7">
        <f>A53&amp;"|"&amp;B53&amp;"|"&amp;C53</f>
        <v/>
      </c>
    </row>
    <row r="54">
      <c r="A54" s="14" t="inlineStr">
        <is>
          <t>labor</t>
        </is>
      </c>
      <c r="B54" s="14" t="inlineStr">
        <is>
          <t>excellent</t>
        </is>
      </c>
      <c r="C54" s="14" t="inlineStr">
        <is>
          <t>pro</t>
        </is>
      </c>
      <c r="D54" s="14" t="n">
        <v>88</v>
      </c>
      <c r="E54" s="15" t="inlineStr"/>
      <c r="F54" s="7">
        <f>A54&amp;"|"&amp;B54&amp;"|"&amp;C54</f>
        <v/>
      </c>
    </row>
    <row r="55">
      <c r="A55" s="14" t="inlineStr">
        <is>
          <t>labor</t>
        </is>
      </c>
      <c r="B55" s="14" t="inlineStr">
        <is>
          <t>strong</t>
        </is>
      </c>
      <c r="C55" s="14" t="inlineStr">
        <is>
          <t>pro</t>
        </is>
      </c>
      <c r="D55" s="14" t="n">
        <v>88</v>
      </c>
      <c r="E55" s="15" t="inlineStr"/>
      <c r="F55" s="7">
        <f>A55&amp;"|"&amp;B55&amp;"|"&amp;C55</f>
        <v/>
      </c>
    </row>
    <row r="56">
      <c r="A56" s="14" t="inlineStr">
        <is>
          <t>labor</t>
        </is>
      </c>
      <c r="B56" s="14" t="inlineStr">
        <is>
          <t>mixed</t>
        </is>
      </c>
      <c r="C56" s="14" t="inlineStr">
        <is>
          <t>pro</t>
        </is>
      </c>
      <c r="D56" s="14" t="n">
        <v>55</v>
      </c>
      <c r="E56" s="15" t="inlineStr"/>
      <c r="F56" s="7">
        <f>A56&amp;"|"&amp;B56&amp;"|"&amp;C56</f>
        <v/>
      </c>
    </row>
    <row r="57">
      <c r="A57" s="14" t="inlineStr">
        <is>
          <t>labor</t>
        </is>
      </c>
      <c r="B57" s="14" t="inlineStr">
        <is>
          <t>poor</t>
        </is>
      </c>
      <c r="C57" s="14" t="inlineStr">
        <is>
          <t>pro</t>
        </is>
      </c>
      <c r="D57" s="14" t="n">
        <v>3</v>
      </c>
      <c r="E57" s="15" t="inlineStr">
        <is>
          <t>Poor labor + pro-union → heavy penalty (base 15 -15)</t>
        </is>
      </c>
      <c r="F57" s="7">
        <f>A57&amp;"|"&amp;B57&amp;"|"&amp;C57</f>
        <v/>
      </c>
    </row>
    <row r="58">
      <c r="A58" s="14" t="inlineStr">
        <is>
          <t>labor</t>
        </is>
      </c>
      <c r="B58" s="14" t="inlineStr">
        <is>
          <t>negative</t>
        </is>
      </c>
      <c r="C58" s="14" t="inlineStr">
        <is>
          <t>pro</t>
        </is>
      </c>
      <c r="D58" s="14" t="n">
        <v>3</v>
      </c>
      <c r="E58" s="15" t="inlineStr"/>
      <c r="F58" s="7">
        <f>A58&amp;"|"&amp;B58&amp;"|"&amp;C58</f>
        <v/>
      </c>
    </row>
    <row r="59">
      <c r="A59" s="14" t="inlineStr">
        <is>
          <t>labor</t>
        </is>
      </c>
      <c r="B59" s="14" t="inlineStr">
        <is>
          <t>very poor</t>
        </is>
      </c>
      <c r="C59" s="14" t="inlineStr">
        <is>
          <t>pro</t>
        </is>
      </c>
      <c r="D59" s="14" t="n">
        <v>3</v>
      </c>
      <c r="E59" s="15" t="inlineStr"/>
      <c r="F59" s="7">
        <f>A59&amp;"|"&amp;B59&amp;"|"&amp;C59</f>
        <v/>
      </c>
    </row>
    <row r="60">
      <c r="A60" s="14" t="inlineStr">
        <is>
          <t>labor</t>
        </is>
      </c>
      <c r="B60" s="14" t="inlineStr">
        <is>
          <t>positive</t>
        </is>
      </c>
      <c r="C60" s="14" t="inlineStr">
        <is>
          <t>anti</t>
        </is>
      </c>
      <c r="D60" s="14" t="n">
        <v>73</v>
      </c>
      <c r="E60" s="15" t="inlineStr">
        <is>
          <t>Penalized — anti-union user dislikes pro-labor (88-15)</t>
        </is>
      </c>
      <c r="F60" s="7">
        <f>A60&amp;"|"&amp;B60&amp;"|"&amp;C60</f>
        <v/>
      </c>
    </row>
    <row r="61">
      <c r="A61" s="14" t="inlineStr">
        <is>
          <t>labor</t>
        </is>
      </c>
      <c r="B61" s="14" t="inlineStr">
        <is>
          <t>good</t>
        </is>
      </c>
      <c r="C61" s="14" t="inlineStr">
        <is>
          <t>anti</t>
        </is>
      </c>
      <c r="D61" s="14" t="n">
        <v>73</v>
      </c>
      <c r="E61" s="15" t="inlineStr"/>
      <c r="F61" s="7">
        <f>A61&amp;"|"&amp;B61&amp;"|"&amp;C61</f>
        <v/>
      </c>
    </row>
    <row r="62">
      <c r="A62" s="14" t="inlineStr">
        <is>
          <t>labor</t>
        </is>
      </c>
      <c r="B62" s="14" t="inlineStr">
        <is>
          <t>mixed</t>
        </is>
      </c>
      <c r="C62" s="14" t="inlineStr">
        <is>
          <t>anti</t>
        </is>
      </c>
      <c r="D62" s="14" t="n">
        <v>65</v>
      </c>
      <c r="E62" s="15" t="inlineStr">
        <is>
          <t>Mixed gets a small bonus for anti-union user</t>
        </is>
      </c>
      <c r="F62" s="7">
        <f>A62&amp;"|"&amp;B62&amp;"|"&amp;C62</f>
        <v/>
      </c>
    </row>
    <row r="63">
      <c r="A63" s="14" t="inlineStr">
        <is>
          <t>labor</t>
        </is>
      </c>
      <c r="B63" s="14" t="inlineStr">
        <is>
          <t>poor</t>
        </is>
      </c>
      <c r="C63" s="14" t="inlineStr">
        <is>
          <t>anti</t>
        </is>
      </c>
      <c r="D63" s="14" t="n">
        <v>35</v>
      </c>
      <c r="E63" s="15" t="inlineStr">
        <is>
          <t>Anti-union user finds poor labor records less bad</t>
        </is>
      </c>
      <c r="F63" s="7">
        <f>A63&amp;"|"&amp;B63&amp;"|"&amp;C63</f>
        <v/>
      </c>
    </row>
    <row r="64">
      <c r="A64" s="14" t="inlineStr">
        <is>
          <t>labor</t>
        </is>
      </c>
      <c r="B64" s="14" t="inlineStr">
        <is>
          <t>negative</t>
        </is>
      </c>
      <c r="C64" s="14" t="inlineStr">
        <is>
          <t>anti</t>
        </is>
      </c>
      <c r="D64" s="14" t="n">
        <v>35</v>
      </c>
      <c r="E64" s="15" t="inlineStr"/>
      <c r="F64" s="7">
        <f>A64&amp;"|"&amp;B64&amp;"|"&amp;C64</f>
        <v/>
      </c>
    </row>
    <row r="65">
      <c r="A65" s="14" t="inlineStr">
        <is>
          <t>labor</t>
        </is>
      </c>
      <c r="B65" s="14" t="inlineStr">
        <is>
          <t>positive</t>
        </is>
      </c>
      <c r="C65" s="14" t="inlineStr">
        <is>
          <t>neutral</t>
        </is>
      </c>
      <c r="D65" s="14" t="n">
        <v>88</v>
      </c>
      <c r="E65" s="15" t="inlineStr">
        <is>
          <t>Neutral union pref, falls back to base scores</t>
        </is>
      </c>
      <c r="F65" s="7">
        <f>A65&amp;"|"&amp;B65&amp;"|"&amp;C65</f>
        <v/>
      </c>
    </row>
    <row r="66">
      <c r="A66" s="14" t="inlineStr">
        <is>
          <t>labor</t>
        </is>
      </c>
      <c r="B66" s="14" t="inlineStr">
        <is>
          <t>good</t>
        </is>
      </c>
      <c r="C66" s="14" t="inlineStr">
        <is>
          <t>neutral</t>
        </is>
      </c>
      <c r="D66" s="14" t="n">
        <v>88</v>
      </c>
      <c r="E66" s="15" t="inlineStr"/>
      <c r="F66" s="7">
        <f>A66&amp;"|"&amp;B66&amp;"|"&amp;C66</f>
        <v/>
      </c>
    </row>
    <row r="67">
      <c r="A67" s="14" t="inlineStr">
        <is>
          <t>labor</t>
        </is>
      </c>
      <c r="B67" s="14" t="inlineStr">
        <is>
          <t>mixed</t>
        </is>
      </c>
      <c r="C67" s="14" t="inlineStr">
        <is>
          <t>neutral</t>
        </is>
      </c>
      <c r="D67" s="14" t="n">
        <v>55</v>
      </c>
      <c r="E67" s="15" t="inlineStr"/>
      <c r="F67" s="7">
        <f>A67&amp;"|"&amp;B67&amp;"|"&amp;C67</f>
        <v/>
      </c>
    </row>
    <row r="68">
      <c r="A68" s="14" t="inlineStr">
        <is>
          <t>labor</t>
        </is>
      </c>
      <c r="B68" s="14" t="inlineStr">
        <is>
          <t>poor</t>
        </is>
      </c>
      <c r="C68" s="14" t="inlineStr">
        <is>
          <t>neutral</t>
        </is>
      </c>
      <c r="D68" s="14" t="n">
        <v>15</v>
      </c>
      <c r="E68" s="15" t="inlineStr"/>
      <c r="F68" s="7">
        <f>A68&amp;"|"&amp;B68&amp;"|"&amp;C68</f>
        <v/>
      </c>
    </row>
    <row r="69">
      <c r="A69" s="14" t="inlineStr">
        <is>
          <t>labor</t>
        </is>
      </c>
      <c r="B69" s="14" t="inlineStr">
        <is>
          <t>negative</t>
        </is>
      </c>
      <c r="C69" s="14" t="inlineStr">
        <is>
          <t>neutral</t>
        </is>
      </c>
      <c r="D69" s="14" t="n">
        <v>15</v>
      </c>
      <c r="E69" s="15" t="inlineStr"/>
      <c r="F69" s="7">
        <f>A69&amp;"|"&amp;B69&amp;"|"&amp;C69</f>
        <v/>
      </c>
    </row>
    <row r="70">
      <c r="A70" s="14" t="inlineStr">
        <is>
          <t>labor</t>
        </is>
      </c>
      <c r="B70" s="14" t="inlineStr">
        <is>
          <t>very poor</t>
        </is>
      </c>
      <c r="C70" s="14" t="inlineStr">
        <is>
          <t>neutral</t>
        </is>
      </c>
      <c r="D70" s="14" t="n">
        <v>5</v>
      </c>
      <c r="E70" s="15" t="inlineStr"/>
      <c r="F70" s="7">
        <f>A70&amp;"|"&amp;B70&amp;"|"&amp;C70</f>
        <v/>
      </c>
    </row>
    <row r="71">
      <c r="A71" s="14" t="inlineStr">
        <is>
          <t>privacy</t>
        </is>
      </c>
      <c r="B71" s="14" t="inlineStr">
        <is>
          <t>good</t>
        </is>
      </c>
      <c r="C71" s="14" t="inlineStr">
        <is>
          <t>any</t>
        </is>
      </c>
      <c r="D71" s="14" t="n">
        <v>92</v>
      </c>
      <c r="E71" s="15" t="inlineStr"/>
      <c r="F71" s="7">
        <f>A71&amp;"|"&amp;B71&amp;"|"&amp;C71</f>
        <v/>
      </c>
    </row>
    <row r="72">
      <c r="A72" s="14" t="inlineStr">
        <is>
          <t>privacy</t>
        </is>
      </c>
      <c r="B72" s="14" t="inlineStr">
        <is>
          <t>mixed</t>
        </is>
      </c>
      <c r="C72" s="14" t="inlineStr">
        <is>
          <t>any</t>
        </is>
      </c>
      <c r="D72" s="14" t="n">
        <v>52</v>
      </c>
      <c r="E72" s="15" t="inlineStr"/>
      <c r="F72" s="7">
        <f>A72&amp;"|"&amp;B72&amp;"|"&amp;C72</f>
        <v/>
      </c>
    </row>
    <row r="73">
      <c r="A73" s="14" t="inlineStr">
        <is>
          <t>privacy</t>
        </is>
      </c>
      <c r="B73" s="14" t="inlineStr">
        <is>
          <t>poor</t>
        </is>
      </c>
      <c r="C73" s="14" t="inlineStr">
        <is>
          <t>any</t>
        </is>
      </c>
      <c r="D73" s="14" t="n">
        <v>10</v>
      </c>
      <c r="E73" s="15" t="inlineStr"/>
      <c r="F73" s="7">
        <f>A73&amp;"|"&amp;B73&amp;"|"&amp;C73</f>
        <v/>
      </c>
    </row>
    <row r="74">
      <c r="A74" s="14" t="inlineStr">
        <is>
          <t>execPay</t>
        </is>
      </c>
      <c r="B74" s="14" t="inlineStr">
        <is>
          <t>fair</t>
        </is>
      </c>
      <c r="C74" s="14" t="inlineStr">
        <is>
          <t>any</t>
        </is>
      </c>
      <c r="D74" s="14" t="n">
        <v>88</v>
      </c>
      <c r="E74" s="15" t="inlineStr"/>
      <c r="F74" s="7">
        <f>A74&amp;"|"&amp;B74&amp;"|"&amp;C74</f>
        <v/>
      </c>
    </row>
    <row r="75">
      <c r="A75" s="14" t="inlineStr">
        <is>
          <t>execPay</t>
        </is>
      </c>
      <c r="B75" s="14" t="inlineStr">
        <is>
          <t>good</t>
        </is>
      </c>
      <c r="C75" s="14" t="inlineStr">
        <is>
          <t>any</t>
        </is>
      </c>
      <c r="D75" s="14" t="n">
        <v>88</v>
      </c>
      <c r="E75" s="15" t="inlineStr"/>
      <c r="F75" s="7">
        <f>A75&amp;"|"&amp;B75&amp;"|"&amp;C75</f>
        <v/>
      </c>
    </row>
    <row r="76">
      <c r="A76" s="14" t="inlineStr">
        <is>
          <t>execPay</t>
        </is>
      </c>
      <c r="B76" s="14" t="inlineStr">
        <is>
          <t>mixed</t>
        </is>
      </c>
      <c r="C76" s="14" t="inlineStr">
        <is>
          <t>any</t>
        </is>
      </c>
      <c r="D76" s="14" t="n">
        <v>58</v>
      </c>
      <c r="E76" s="15" t="inlineStr"/>
      <c r="F76" s="7">
        <f>A76&amp;"|"&amp;B76&amp;"|"&amp;C76</f>
        <v/>
      </c>
    </row>
    <row r="77">
      <c r="A77" s="14" t="inlineStr">
        <is>
          <t>execPay</t>
        </is>
      </c>
      <c r="B77" s="14" t="inlineStr">
        <is>
          <t>poor</t>
        </is>
      </c>
      <c r="C77" s="14" t="inlineStr">
        <is>
          <t>any</t>
        </is>
      </c>
      <c r="D77" s="14" t="n">
        <v>15</v>
      </c>
      <c r="E77" s="15" t="inlineStr"/>
      <c r="F77" s="7">
        <f>A77&amp;"|"&amp;B77&amp;"|"&amp;C77</f>
        <v/>
      </c>
    </row>
    <row r="78">
      <c r="A78" s="14" t="inlineStr">
        <is>
          <t>charity</t>
        </is>
      </c>
      <c r="B78" s="14" t="inlineStr">
        <is>
          <t>positive</t>
        </is>
      </c>
      <c r="C78" s="14" t="inlineStr">
        <is>
          <t>any</t>
        </is>
      </c>
      <c r="D78" s="14" t="n">
        <v>88</v>
      </c>
      <c r="E78" s="15" t="inlineStr"/>
      <c r="F78" s="7">
        <f>A78&amp;"|"&amp;B78&amp;"|"&amp;C78</f>
        <v/>
      </c>
    </row>
    <row r="79">
      <c r="A79" s="14" t="inlineStr">
        <is>
          <t>charity</t>
        </is>
      </c>
      <c r="B79" s="14" t="inlineStr">
        <is>
          <t>good</t>
        </is>
      </c>
      <c r="C79" s="14" t="inlineStr">
        <is>
          <t>any</t>
        </is>
      </c>
      <c r="D79" s="14" t="n">
        <v>88</v>
      </c>
      <c r="E79" s="15" t="inlineStr"/>
      <c r="F79" s="7">
        <f>A79&amp;"|"&amp;B79&amp;"|"&amp;C79</f>
        <v/>
      </c>
    </row>
    <row r="80">
      <c r="A80" s="14" t="inlineStr">
        <is>
          <t>charity</t>
        </is>
      </c>
      <c r="B80" s="14" t="inlineStr">
        <is>
          <t>excellent</t>
        </is>
      </c>
      <c r="C80" s="14" t="inlineStr">
        <is>
          <t>any</t>
        </is>
      </c>
      <c r="D80" s="14" t="n">
        <v>88</v>
      </c>
      <c r="E80" s="15" t="inlineStr"/>
      <c r="F80" s="7">
        <f>A80&amp;"|"&amp;B80&amp;"|"&amp;C80</f>
        <v/>
      </c>
    </row>
    <row r="81">
      <c r="A81" s="14" t="inlineStr">
        <is>
          <t>charity</t>
        </is>
      </c>
      <c r="B81" s="14" t="inlineStr">
        <is>
          <t>strong</t>
        </is>
      </c>
      <c r="C81" s="14" t="inlineStr">
        <is>
          <t>any</t>
        </is>
      </c>
      <c r="D81" s="14" t="n">
        <v>88</v>
      </c>
      <c r="E81" s="15" t="inlineStr"/>
      <c r="F81" s="7">
        <f>A81&amp;"|"&amp;B81&amp;"|"&amp;C81</f>
        <v/>
      </c>
    </row>
    <row r="82">
      <c r="A82" s="14" t="inlineStr">
        <is>
          <t>charity</t>
        </is>
      </c>
      <c r="B82" s="14" t="inlineStr">
        <is>
          <t>mixed</t>
        </is>
      </c>
      <c r="C82" s="14" t="inlineStr">
        <is>
          <t>any</t>
        </is>
      </c>
      <c r="D82" s="14" t="n">
        <v>52</v>
      </c>
      <c r="E82" s="15" t="inlineStr"/>
      <c r="F82" s="7">
        <f>A82&amp;"|"&amp;B82&amp;"|"&amp;C82</f>
        <v/>
      </c>
    </row>
    <row r="83">
      <c r="A83" s="14" t="inlineStr">
        <is>
          <t>charity</t>
        </is>
      </c>
      <c r="B83" s="14" t="inlineStr">
        <is>
          <t>neutral</t>
        </is>
      </c>
      <c r="C83" s="14" t="inlineStr">
        <is>
          <t>any</t>
        </is>
      </c>
      <c r="D83" s="14" t="n">
        <v>48</v>
      </c>
      <c r="E83" s="15" t="inlineStr"/>
      <c r="F83" s="7">
        <f>A83&amp;"|"&amp;B83&amp;"|"&amp;C83</f>
        <v/>
      </c>
    </row>
    <row r="84">
      <c r="A84" s="14" t="inlineStr">
        <is>
          <t>charity</t>
        </is>
      </c>
      <c r="B84" s="14" t="inlineStr">
        <is>
          <t>negative</t>
        </is>
      </c>
      <c r="C84" s="14" t="inlineStr">
        <is>
          <t>any</t>
        </is>
      </c>
      <c r="D84" s="14" t="n">
        <v>15</v>
      </c>
      <c r="E84" s="15" t="inlineStr"/>
      <c r="F84" s="7">
        <f>A84&amp;"|"&amp;B84&amp;"|"&amp;C84</f>
        <v/>
      </c>
    </row>
    <row r="85">
      <c r="A85" s="14" t="inlineStr">
        <is>
          <t>charity</t>
        </is>
      </c>
      <c r="B85" s="14" t="inlineStr">
        <is>
          <t>poor</t>
        </is>
      </c>
      <c r="C85" s="14" t="inlineStr">
        <is>
          <t>any</t>
        </is>
      </c>
      <c r="D85" s="14" t="n">
        <v>15</v>
      </c>
      <c r="E85" s="15" t="inlineStr"/>
      <c r="F85" s="7">
        <f>A85&amp;"|"&amp;B85&amp;"|"&amp;C85</f>
        <v/>
      </c>
    </row>
    <row r="86">
      <c r="A86" s="14" t="inlineStr">
        <is>
          <t>charity</t>
        </is>
      </c>
      <c r="B86" s="14" t="inlineStr">
        <is>
          <t>below average</t>
        </is>
      </c>
      <c r="C86" s="14" t="inlineStr">
        <is>
          <t>any</t>
        </is>
      </c>
      <c r="D86" s="14" t="n">
        <v>15</v>
      </c>
      <c r="E86" s="15" t="inlineStr"/>
      <c r="F86" s="7">
        <f>A86&amp;"|"&amp;B86&amp;"|"&amp;C86</f>
        <v/>
      </c>
    </row>
    <row r="87">
      <c r="A87" s="14" t="inlineStr">
        <is>
          <t>charity</t>
        </is>
      </c>
      <c r="B87" s="14" t="inlineStr">
        <is>
          <t>very poor</t>
        </is>
      </c>
      <c r="C87" s="14" t="inlineStr">
        <is>
          <t>any</t>
        </is>
      </c>
      <c r="D87" s="14" t="n">
        <v>3</v>
      </c>
      <c r="E87" s="15" t="inlineStr"/>
      <c r="F87" s="7">
        <f>A87&amp;"|"&amp;B87&amp;"|"&amp;C87</f>
        <v/>
      </c>
    </row>
    <row r="88">
      <c r="A88" s="14" t="inlineStr">
        <is>
          <t>environment</t>
        </is>
      </c>
      <c r="B88" s="14" t="inlineStr">
        <is>
          <t>positive</t>
        </is>
      </c>
      <c r="C88" s="14" t="inlineStr">
        <is>
          <t>any</t>
        </is>
      </c>
      <c r="D88" s="14" t="n">
        <v>88</v>
      </c>
      <c r="E88" s="15" t="inlineStr"/>
      <c r="F88" s="7">
        <f>A88&amp;"|"&amp;B88&amp;"|"&amp;C88</f>
        <v/>
      </c>
    </row>
    <row r="89">
      <c r="A89" s="14" t="inlineStr">
        <is>
          <t>environment</t>
        </is>
      </c>
      <c r="B89" s="14" t="inlineStr">
        <is>
          <t>good</t>
        </is>
      </c>
      <c r="C89" s="14" t="inlineStr">
        <is>
          <t>any</t>
        </is>
      </c>
      <c r="D89" s="14" t="n">
        <v>88</v>
      </c>
      <c r="E89" s="15" t="inlineStr"/>
      <c r="F89" s="7">
        <f>A89&amp;"|"&amp;B89&amp;"|"&amp;C89</f>
        <v/>
      </c>
    </row>
    <row r="90">
      <c r="A90" s="14" t="inlineStr">
        <is>
          <t>environment</t>
        </is>
      </c>
      <c r="B90" s="14" t="inlineStr">
        <is>
          <t>mixed</t>
        </is>
      </c>
      <c r="C90" s="14" t="inlineStr">
        <is>
          <t>any</t>
        </is>
      </c>
      <c r="D90" s="14" t="n">
        <v>52</v>
      </c>
      <c r="E90" s="15" t="inlineStr"/>
      <c r="F90" s="7">
        <f>A90&amp;"|"&amp;B90&amp;"|"&amp;C90</f>
        <v/>
      </c>
    </row>
    <row r="91">
      <c r="A91" s="14" t="inlineStr">
        <is>
          <t>environment</t>
        </is>
      </c>
      <c r="B91" s="14" t="inlineStr">
        <is>
          <t>neutral</t>
        </is>
      </c>
      <c r="C91" s="14" t="inlineStr">
        <is>
          <t>any</t>
        </is>
      </c>
      <c r="D91" s="14" t="n">
        <v>48</v>
      </c>
      <c r="E91" s="15" t="inlineStr"/>
      <c r="F91" s="7">
        <f>A91&amp;"|"&amp;B91&amp;"|"&amp;C91</f>
        <v/>
      </c>
    </row>
    <row r="92">
      <c r="A92" s="14" t="inlineStr">
        <is>
          <t>environment</t>
        </is>
      </c>
      <c r="B92" s="14" t="inlineStr">
        <is>
          <t>poor</t>
        </is>
      </c>
      <c r="C92" s="14" t="inlineStr">
        <is>
          <t>any</t>
        </is>
      </c>
      <c r="D92" s="14" t="n">
        <v>15</v>
      </c>
      <c r="E92" s="15" t="inlineStr"/>
      <c r="F92" s="7">
        <f>A92&amp;"|"&amp;B92&amp;"|"&amp;C92</f>
        <v/>
      </c>
    </row>
    <row r="93">
      <c r="A93" s="14" t="inlineStr">
        <is>
          <t>environment</t>
        </is>
      </c>
      <c r="B93" s="14" t="inlineStr">
        <is>
          <t>negative</t>
        </is>
      </c>
      <c r="C93" s="14" t="inlineStr">
        <is>
          <t>any</t>
        </is>
      </c>
      <c r="D93" s="14" t="n">
        <v>15</v>
      </c>
      <c r="E93" s="15" t="inlineStr"/>
      <c r="F93" s="7">
        <f>A93&amp;"|"&amp;B93&amp;"|"&amp;C93</f>
        <v/>
      </c>
    </row>
    <row r="94">
      <c r="A94" s="14" t="inlineStr">
        <is>
          <t>environment</t>
        </is>
      </c>
      <c r="B94" s="14" t="inlineStr">
        <is>
          <t>very poor</t>
        </is>
      </c>
      <c r="C94" s="14" t="inlineStr">
        <is>
          <t>any</t>
        </is>
      </c>
      <c r="D94" s="14" t="n">
        <v>3</v>
      </c>
      <c r="E94" s="15" t="inlineStr"/>
      <c r="F94" s="7">
        <f>A94&amp;"|"&amp;B94&amp;"|"&amp;C94</f>
        <v/>
      </c>
    </row>
    <row r="95">
      <c r="A95" s="14" t="inlineStr">
        <is>
          <t>health</t>
        </is>
      </c>
      <c r="B95" s="14" t="inlineStr">
        <is>
          <t>good</t>
        </is>
      </c>
      <c r="C95" s="14" t="inlineStr">
        <is>
          <t>any</t>
        </is>
      </c>
      <c r="D95" s="14" t="n">
        <v>85</v>
      </c>
      <c r="E95" s="15" t="inlineStr"/>
      <c r="F95" s="7">
        <f>A95&amp;"|"&amp;B95&amp;"|"&amp;C95</f>
        <v/>
      </c>
    </row>
    <row r="96">
      <c r="A96" s="14" t="inlineStr">
        <is>
          <t>health</t>
        </is>
      </c>
      <c r="B96" s="14" t="inlineStr">
        <is>
          <t>positive</t>
        </is>
      </c>
      <c r="C96" s="14" t="inlineStr">
        <is>
          <t>any</t>
        </is>
      </c>
      <c r="D96" s="14" t="n">
        <v>85</v>
      </c>
      <c r="E96" s="15" t="inlineStr"/>
      <c r="F96" s="7">
        <f>A96&amp;"|"&amp;B96&amp;"|"&amp;C96</f>
        <v/>
      </c>
    </row>
    <row r="97">
      <c r="A97" s="14" t="inlineStr">
        <is>
          <t>health</t>
        </is>
      </c>
      <c r="B97" s="14" t="inlineStr">
        <is>
          <t>mixed</t>
        </is>
      </c>
      <c r="C97" s="14" t="inlineStr">
        <is>
          <t>any</t>
        </is>
      </c>
      <c r="D97" s="14" t="n">
        <v>50</v>
      </c>
      <c r="E97" s="15" t="inlineStr"/>
      <c r="F97" s="7">
        <f>A97&amp;"|"&amp;B97&amp;"|"&amp;C97</f>
        <v/>
      </c>
    </row>
    <row r="98">
      <c r="A98" s="14" t="inlineStr">
        <is>
          <t>health</t>
        </is>
      </c>
      <c r="B98" s="14" t="inlineStr">
        <is>
          <t>poor</t>
        </is>
      </c>
      <c r="C98" s="14" t="inlineStr">
        <is>
          <t>any</t>
        </is>
      </c>
      <c r="D98" s="14" t="n">
        <v>15</v>
      </c>
      <c r="E98" s="15" t="inlineStr"/>
      <c r="F98" s="7">
        <f>A98&amp;"|"&amp;B98&amp;"|"&amp;C98</f>
        <v/>
      </c>
    </row>
    <row r="99">
      <c r="A99" s="14" t="inlineStr">
        <is>
          <t>health</t>
        </is>
      </c>
      <c r="B99" s="14" t="inlineStr">
        <is>
          <t>negative</t>
        </is>
      </c>
      <c r="C99" s="14" t="inlineStr">
        <is>
          <t>any</t>
        </is>
      </c>
      <c r="D99" s="14" t="n">
        <v>15</v>
      </c>
      <c r="E99" s="15" t="inlineStr"/>
      <c r="F99" s="7">
        <f>A99&amp;"|"&amp;B99&amp;"|"&amp;C99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8" customWidth="1" min="3" max="3"/>
    <col width="16" customWidth="1" min="4" max="4"/>
    <col width="60" customWidth="1" min="5" max="5"/>
  </cols>
  <sheetData>
    <row r="1">
      <c r="A1" s="6" t="inlineStr">
        <is>
          <t>Category</t>
        </is>
      </c>
      <c r="B1" s="6" t="inlineStr">
        <is>
          <t>Default weight</t>
        </is>
      </c>
      <c r="C1" s="6" t="inlineStr">
        <is>
          <t>Boost trigger</t>
        </is>
      </c>
      <c r="D1" s="6" t="inlineStr">
        <is>
          <t>Boost multiplier</t>
        </is>
      </c>
      <c r="E1" s="6" t="inlineStr">
        <is>
          <t>Notes</t>
        </is>
      </c>
      <c r="G1" s="6" t="inlineStr">
        <is>
          <t>Category</t>
        </is>
      </c>
      <c r="H1" s="6" t="inlineStr">
        <is>
          <t>Boost field</t>
        </is>
      </c>
      <c r="I1" s="6" t="inlineStr">
        <is>
          <t>Max boost</t>
        </is>
      </c>
    </row>
    <row r="2">
      <c r="A2" s="14" t="inlineStr">
        <is>
          <t>political</t>
        </is>
      </c>
      <c r="B2" s="14" t="n">
        <v>3</v>
      </c>
      <c r="C2" s="14" t="inlineStr">
        <is>
          <t>lean ≠ neutral</t>
        </is>
      </c>
      <c r="D2" s="14" t="n">
        <v>2</v>
      </c>
      <c r="E2" s="15" t="inlineStr">
        <is>
          <t>Active political opinion doubles weight</t>
        </is>
      </c>
      <c r="G2" s="14" t="inlineStr">
        <is>
          <t>political</t>
        </is>
      </c>
      <c r="H2" s="14" t="inlineStr">
        <is>
          <t>lean</t>
        </is>
      </c>
      <c r="I2" s="14" t="n">
        <v>2</v>
      </c>
    </row>
    <row r="3">
      <c r="A3" s="14" t="inlineStr">
        <is>
          <t>charity</t>
        </is>
      </c>
      <c r="B3" s="14" t="n">
        <v>2</v>
      </c>
      <c r="C3" s="14" t="inlineStr">
        <is>
          <t>(no boost)</t>
        </is>
      </c>
      <c r="D3" s="14" t="n">
        <v>1</v>
      </c>
      <c r="E3" s="15" t="inlineStr"/>
      <c r="G3" s="14" t="inlineStr">
        <is>
          <t>charity</t>
        </is>
      </c>
      <c r="H3" s="14" t="inlineStr"/>
      <c r="I3" s="14" t="n">
        <v>1</v>
      </c>
    </row>
    <row r="4">
      <c r="A4" s="14" t="inlineStr">
        <is>
          <t>environment</t>
        </is>
      </c>
      <c r="B4" s="14" t="n">
        <v>3</v>
      </c>
      <c r="C4" s="14" t="inlineStr">
        <is>
          <t>(no boost)</t>
        </is>
      </c>
      <c r="D4" s="14" t="n">
        <v>1</v>
      </c>
      <c r="E4" s="15" t="inlineStr"/>
      <c r="G4" s="14" t="inlineStr">
        <is>
          <t>environment</t>
        </is>
      </c>
      <c r="H4" s="14" t="inlineStr"/>
      <c r="I4" s="14" t="n">
        <v>1</v>
      </c>
    </row>
    <row r="5">
      <c r="A5" s="14" t="inlineStr">
        <is>
          <t>labor</t>
        </is>
      </c>
      <c r="B5" s="14" t="n">
        <v>3</v>
      </c>
      <c r="C5" s="14" t="inlineStr">
        <is>
          <t>unionSupport ≠ neutral</t>
        </is>
      </c>
      <c r="D5" s="14" t="n">
        <v>2</v>
      </c>
      <c r="E5" s="15" t="inlineStr">
        <is>
          <t>Pro- or anti-union user doubles labor weight</t>
        </is>
      </c>
      <c r="G5" s="14" t="inlineStr">
        <is>
          <t>labor</t>
        </is>
      </c>
      <c r="H5" s="14" t="inlineStr">
        <is>
          <t>unionSupport</t>
        </is>
      </c>
      <c r="I5" s="14" t="n">
        <v>2</v>
      </c>
    </row>
    <row r="6">
      <c r="A6" s="14" t="inlineStr">
        <is>
          <t>dei</t>
        </is>
      </c>
      <c r="B6" s="14" t="n">
        <v>3</v>
      </c>
      <c r="C6" s="14" t="inlineStr">
        <is>
          <t>deiLean ≠ neutral</t>
        </is>
      </c>
      <c r="D6" s="14" t="n">
        <v>2</v>
      </c>
      <c r="E6" s="15" t="inlineStr">
        <is>
          <t>Active DEI stance doubles weight</t>
        </is>
      </c>
      <c r="G6" s="14" t="inlineStr">
        <is>
          <t>dei</t>
        </is>
      </c>
      <c r="H6" s="14" t="inlineStr">
        <is>
          <t>deiLean</t>
        </is>
      </c>
      <c r="I6" s="14" t="n">
        <v>2</v>
      </c>
    </row>
    <row r="7">
      <c r="A7" s="14" t="inlineStr">
        <is>
          <t>animals</t>
        </is>
      </c>
      <c r="B7" s="14" t="n">
        <v>2</v>
      </c>
      <c r="C7" s="14" t="inlineStr">
        <is>
          <t>animalTesting ≠ neutral</t>
        </is>
      </c>
      <c r="D7" s="14" t="n">
        <v>2</v>
      </c>
      <c r="E7" s="15" t="inlineStr">
        <is>
          <t>Active animal stance doubles weight</t>
        </is>
      </c>
      <c r="G7" s="14" t="inlineStr">
        <is>
          <t>animals</t>
        </is>
      </c>
      <c r="H7" s="14" t="inlineStr">
        <is>
          <t>animalTesting</t>
        </is>
      </c>
      <c r="I7" s="14" t="n">
        <v>2</v>
      </c>
    </row>
    <row r="8">
      <c r="A8" s="14" t="inlineStr">
        <is>
          <t>guns</t>
        </is>
      </c>
      <c r="B8" s="14" t="n">
        <v>2</v>
      </c>
      <c r="C8" s="14" t="inlineStr">
        <is>
          <t>guns ≠ neutral</t>
        </is>
      </c>
      <c r="D8" s="14" t="n">
        <v>4</v>
      </c>
      <c r="E8" s="15" t="inlineStr">
        <is>
          <t>Active gun stance QUADRUPLES weight (strong-opinion category)</t>
        </is>
      </c>
      <c r="G8" s="14" t="inlineStr">
        <is>
          <t>guns</t>
        </is>
      </c>
      <c r="H8" s="14" t="inlineStr">
        <is>
          <t>guns</t>
        </is>
      </c>
      <c r="I8" s="14" t="n">
        <v>4</v>
      </c>
    </row>
    <row r="9">
      <c r="A9" s="14" t="inlineStr">
        <is>
          <t>privacy</t>
        </is>
      </c>
      <c r="B9" s="14" t="n">
        <v>2</v>
      </c>
      <c r="C9" s="14" t="inlineStr">
        <is>
          <t>(no boost)</t>
        </is>
      </c>
      <c r="D9" s="14" t="n">
        <v>1</v>
      </c>
      <c r="E9" s="15" t="inlineStr"/>
      <c r="G9" s="14" t="inlineStr">
        <is>
          <t>privacy</t>
        </is>
      </c>
      <c r="H9" s="14" t="inlineStr"/>
      <c r="I9" s="14" t="n">
        <v>1</v>
      </c>
    </row>
    <row r="10">
      <c r="A10" s="14" t="inlineStr">
        <is>
          <t>execPay</t>
        </is>
      </c>
      <c r="B10" s="14" t="n">
        <v>2</v>
      </c>
      <c r="C10" s="14" t="inlineStr">
        <is>
          <t>(no boost)</t>
        </is>
      </c>
      <c r="D10" s="14" t="n">
        <v>1</v>
      </c>
      <c r="E10" s="15" t="inlineStr"/>
      <c r="G10" s="14" t="inlineStr">
        <is>
          <t>execPay</t>
        </is>
      </c>
      <c r="H10" s="14" t="inlineStr"/>
      <c r="I10" s="14" t="n">
        <v>1</v>
      </c>
    </row>
    <row r="11">
      <c r="A11" s="14" t="inlineStr">
        <is>
          <t>health</t>
        </is>
      </c>
      <c r="B11" s="14" t="n">
        <v>2</v>
      </c>
      <c r="C11" s="14" t="inlineStr">
        <is>
          <t>(no boost)</t>
        </is>
      </c>
      <c r="D11" s="14" t="n">
        <v>1</v>
      </c>
      <c r="E11" s="15" t="inlineStr">
        <is>
          <t>Health category not in default profile.weights</t>
        </is>
      </c>
      <c r="G11" s="14" t="inlineStr">
        <is>
          <t>health</t>
        </is>
      </c>
      <c r="H11" s="14" t="inlineStr"/>
      <c r="I11" s="1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18" customWidth="1" min="3" max="3"/>
    <col width="14" customWidth="1" min="4" max="4"/>
  </cols>
  <sheetData>
    <row r="1">
      <c r="A1" s="6" t="inlineStr">
        <is>
          <t>Dealbreaker key</t>
        </is>
      </c>
      <c r="B1" s="6" t="inlineStr">
        <is>
          <t>Triggers when</t>
        </is>
      </c>
      <c r="C1" s="6" t="inlineStr">
        <is>
          <t>Penalty (points)</t>
        </is>
      </c>
      <c r="D1" s="6" t="inlineStr">
        <is>
          <t>Notes</t>
        </is>
      </c>
    </row>
    <row r="2">
      <c r="A2" s="14" t="inlineStr">
        <is>
          <t>foreignOwn</t>
        </is>
      </c>
      <c r="B2" s="15" t="inlineStr">
        <is>
          <t>company.foreignOwned == true</t>
        </is>
      </c>
      <c r="C2" s="14" t="n">
        <v>-30</v>
      </c>
      <c r="D2" s="15" t="inlineStr">
        <is>
          <t>Was Nestlé's case (UK HQ)</t>
        </is>
      </c>
    </row>
    <row r="3">
      <c r="A3" s="14" t="inlineStr">
        <is>
          <t>childLabor</t>
        </is>
      </c>
      <c r="B3" s="15" t="inlineStr">
        <is>
          <t>company.childLabor == true</t>
        </is>
      </c>
      <c r="C3" s="14" t="n">
        <v>-30</v>
      </c>
      <c r="D3" s="15" t="inlineStr"/>
    </row>
    <row r="4">
      <c r="A4" s="14" t="inlineStr">
        <is>
          <t>monopoly</t>
        </is>
      </c>
      <c r="B4" s="15" t="inlineStr">
        <is>
          <t>company.antitrust == true</t>
        </is>
      </c>
      <c r="C4" s="14" t="n">
        <v>-25</v>
      </c>
      <c r="D4" s="15" t="inlineStr"/>
    </row>
    <row r="5">
      <c r="A5" s="14" t="inlineStr">
        <is>
          <t>forcedLabor</t>
        </is>
      </c>
      <c r="B5" s="15" t="inlineStr">
        <is>
          <t>sc.labor == 'poor'</t>
        </is>
      </c>
      <c r="C5" s="14" t="n">
        <v>-25</v>
      </c>
      <c r="D5" s="15" t="inlineStr"/>
    </row>
    <row r="6">
      <c r="A6" s="14" t="inlineStr">
        <is>
          <t>darkPatterns</t>
        </is>
      </c>
      <c r="B6" s="15" t="inlineStr">
        <is>
          <t>sc.privacy == 'poor'</t>
        </is>
      </c>
      <c r="C6" s="14" t="n">
        <v>-20</v>
      </c>
      <c r="D6" s="15" t="inlineStr"/>
    </row>
    <row r="7">
      <c r="A7" s="14" t="inlineStr">
        <is>
          <t>taxAvoidance</t>
        </is>
      </c>
      <c r="B7" s="15" t="inlineStr">
        <is>
          <t>sc.execPay == 'poor'</t>
        </is>
      </c>
      <c r="C7" s="14" t="n">
        <v>-15</v>
      </c>
      <c r="D7" s="15" t="inlineStr"/>
    </row>
    <row r="8">
      <c r="A8" s="14" t="inlineStr">
        <is>
          <t>predatoryPrice</t>
        </is>
      </c>
      <c r="B8" s="15" t="inlineStr">
        <is>
          <t>sc.labor == 'poor'</t>
        </is>
      </c>
      <c r="C8" s="14" t="n">
        <v>-15</v>
      </c>
      <c r="D8" s="15" t="inlineStr"/>
    </row>
    <row r="9">
      <c r="A9" s="14" t="inlineStr">
        <is>
          <t>environment</t>
        </is>
      </c>
      <c r="B9" s="15" t="inlineStr">
        <is>
          <t>sc.environment in [negative/poor/very poor/below avg]</t>
        </is>
      </c>
      <c r="C9" s="14" t="n">
        <v>-20</v>
      </c>
      <c r="D9" s="15" t="inlineStr">
        <is>
          <t>Standard category dealbreaker</t>
        </is>
      </c>
    </row>
    <row r="10">
      <c r="A10" s="14" t="inlineStr">
        <is>
          <t>labor</t>
        </is>
      </c>
      <c r="B10" s="15" t="inlineStr">
        <is>
          <t>sc.labor in [negative/poor/very poor/below avg]</t>
        </is>
      </c>
      <c r="C10" s="14" t="n">
        <v>-20</v>
      </c>
      <c r="D10" s="15" t="inlineStr"/>
    </row>
    <row r="11">
      <c r="A11" s="14" t="inlineStr">
        <is>
          <t>privacy</t>
        </is>
      </c>
      <c r="B11" s="15" t="inlineStr">
        <is>
          <t>sc.privacy in [poor]</t>
        </is>
      </c>
      <c r="C11" s="14" t="n">
        <v>-20</v>
      </c>
      <c r="D11" s="15" t="inlineStr"/>
    </row>
    <row r="12">
      <c r="A12" s="14" t="inlineStr">
        <is>
          <t>execPay</t>
        </is>
      </c>
      <c r="B12" s="15" t="inlineStr">
        <is>
          <t>sc.execPay in [poor]</t>
        </is>
      </c>
      <c r="C12" s="14" t="n">
        <v>-20</v>
      </c>
      <c r="D12" s="15" t="inlineStr"/>
    </row>
    <row r="13">
      <c r="A13" s="14" t="inlineStr">
        <is>
          <t>animals</t>
        </is>
      </c>
      <c r="B13" s="15" t="inlineStr">
        <is>
          <t>sc.animals in [tests_animals]</t>
        </is>
      </c>
      <c r="C13" s="14" t="n">
        <v>-20</v>
      </c>
      <c r="D13" s="15" t="inlineStr">
        <is>
          <t>Standard category dealbreaker</t>
        </is>
      </c>
    </row>
    <row r="14">
      <c r="A14" s="14" t="inlineStr">
        <is>
          <t>guns</t>
        </is>
      </c>
      <c r="B14" s="15" t="inlineStr">
        <is>
          <t>sc.guns in [sells_guns / makes_guns]</t>
        </is>
      </c>
      <c r="C14" s="14" t="n">
        <v>-20</v>
      </c>
      <c r="D14" s="15" t="inlineStr"/>
    </row>
    <row r="15">
      <c r="A15" s="14" t="inlineStr">
        <is>
          <t>charity</t>
        </is>
      </c>
      <c r="B15" s="15" t="inlineStr">
        <is>
          <t>sc.charity in [negative/poor]</t>
        </is>
      </c>
      <c r="C15" s="14" t="n">
        <v>-20</v>
      </c>
      <c r="D15" s="15" t="inlineStr"/>
    </row>
    <row r="16">
      <c r="A16" s="14" t="inlineStr">
        <is>
          <t>animalTesting (special)</t>
        </is>
      </c>
      <c r="B16" s="15" t="inlineStr">
        <is>
          <t>profile.animalTesting == 'dealbreaker' AND sc.animals == 'tests_animals'</t>
        </is>
      </c>
      <c r="C16" s="14" t="n">
        <v>-40</v>
      </c>
      <c r="D16" s="15" t="inlineStr">
        <is>
          <t>SPECIAL: returns max(0, min(ws-40, 30)) — caps score at 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50" customWidth="1" min="3" max="3"/>
  </cols>
  <sheetData>
    <row r="1">
      <c r="A1" s="6" t="inlineStr">
        <is>
          <t>Letter</t>
        </is>
      </c>
      <c r="B1" s="6" t="inlineStr">
        <is>
          <t>Score range</t>
        </is>
      </c>
      <c r="C1" s="6" t="inlineStr">
        <is>
          <t>Notes</t>
        </is>
      </c>
      <c r="E1" s="6" t="inlineStr">
        <is>
          <t>Min score</t>
        </is>
      </c>
      <c r="F1" s="6" t="inlineStr">
        <is>
          <t>Letter</t>
        </is>
      </c>
    </row>
    <row r="2">
      <c r="A2" s="14" t="inlineStr">
        <is>
          <t>A</t>
        </is>
      </c>
      <c r="B2" s="14" t="inlineStr">
        <is>
          <t>≥ 75</t>
        </is>
      </c>
      <c r="C2" s="15" t="inlineStr">
        <is>
          <t>Truly exceptional (only ~0.04% of brands post Build 54)</t>
        </is>
      </c>
      <c r="E2" s="16" t="n">
        <v>0</v>
      </c>
      <c r="F2" s="16" t="inlineStr">
        <is>
          <t>F</t>
        </is>
      </c>
    </row>
    <row r="3">
      <c r="A3" s="14" t="inlineStr">
        <is>
          <t>B</t>
        </is>
      </c>
      <c r="B3" s="14" t="inlineStr">
        <is>
          <t>≥ 62</t>
        </is>
      </c>
      <c r="C3" s="15" t="inlineStr">
        <is>
          <t>Very good</t>
        </is>
      </c>
      <c r="E3" s="16" t="n">
        <v>35</v>
      </c>
      <c r="F3" s="16" t="inlineStr">
        <is>
          <t>D</t>
        </is>
      </c>
    </row>
    <row r="4">
      <c r="A4" s="14" t="inlineStr">
        <is>
          <t>C</t>
        </is>
      </c>
      <c r="B4" s="14" t="inlineStr">
        <is>
          <t>≥ 48</t>
        </is>
      </c>
      <c r="C4" s="15" t="inlineStr">
        <is>
          <t>Average / middle of pack</t>
        </is>
      </c>
      <c r="E4" s="16" t="n">
        <v>48</v>
      </c>
      <c r="F4" s="16" t="inlineStr">
        <is>
          <t>C</t>
        </is>
      </c>
    </row>
    <row r="5">
      <c r="A5" s="14" t="inlineStr">
        <is>
          <t>D</t>
        </is>
      </c>
      <c r="B5" s="14" t="inlineStr">
        <is>
          <t>≥ 35</t>
        </is>
      </c>
      <c r="C5" s="15" t="inlineStr">
        <is>
          <t>Below average</t>
        </is>
      </c>
      <c r="E5" s="16" t="n">
        <v>62</v>
      </c>
      <c r="F5" s="16" t="inlineStr">
        <is>
          <t>B</t>
        </is>
      </c>
    </row>
    <row r="6">
      <c r="A6" s="14" t="inlineStr">
        <is>
          <t>F</t>
        </is>
      </c>
      <c r="B6" s="14" t="inlineStr">
        <is>
          <t>&lt; 35</t>
        </is>
      </c>
      <c r="C6" s="15" t="inlineStr">
        <is>
          <t>Significant negative signals</t>
        </is>
      </c>
      <c r="E6" s="16" t="n">
        <v>75</v>
      </c>
      <c r="F6" s="16" t="inlineStr">
        <is>
          <t>A</t>
        </is>
      </c>
    </row>
    <row r="7">
      <c r="A7" s="14" t="inlineStr">
        <is>
          <t>?</t>
        </is>
      </c>
      <c r="B7" s="14" t="inlineStr">
        <is>
          <t>null</t>
        </is>
      </c>
      <c r="C7" s="15" t="inlineStr">
        <is>
          <t>Insufficient data — 0 contributing categories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2026-06-09T15:29:31Z</dcterms:created>
  <dcterms:modified xsi:type="dcterms:W3CDTF">2026-06-09T15:29:31Z</dcterms:modified>
</cp:coreProperties>
</file>